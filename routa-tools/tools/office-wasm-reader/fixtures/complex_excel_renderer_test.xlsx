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2b5912c9f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72962009ea54bc8"/>
    <x:sheet xmlns:r="http://schemas.openxmlformats.org/officeDocument/2006/relationships" name="01_Dashboard" sheetId="2" r:id="R5f2d0bcb7efc4d93"/>
    <x:sheet xmlns:r="http://schemas.openxmlformats.org/officeDocument/2006/relationships" name="02_Tasks_Table" sheetId="3" r:id="R6d44ad3f012a4b65"/>
    <x:sheet xmlns:r="http://schemas.openxmlformats.org/officeDocument/2006/relationships" name="03_TimeSeries" sheetId="4" r:id="R45cd9c09b3c0471b"/>
    <x:sheet xmlns:r="http://schemas.openxmlformats.org/officeDocument/2006/relationships" name="04_Heatmap" sheetId="5" r:id="R893df33e732d46e3"/>
    <x:sheet xmlns:r="http://schemas.openxmlformats.org/officeDocument/2006/relationships" name="05_Formula_Lab" sheetId="6" r:id="R37ad883e79114deb"/>
    <x:sheet xmlns:r="http://schemas.openxmlformats.org/officeDocument/2006/relationships" name="06_Validation_Form" sheetId="7" r:id="R938d4153b1444c36"/>
    <x:sheet xmlns:r="http://schemas.openxmlformats.org/officeDocument/2006/relationships" name="07_Layout_Stress" sheetId="8" r:id="R5428682d50a04c57"/>
    <x:sheet xmlns:r="http://schemas.openxmlformats.org/officeDocument/2006/relationships" name="99_Config" sheetId="9" r:id="Reba1310f5501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"/>
    <x:numFmt numFmtId="201" formatCode="yyyy-mm-dd"/>
    <x:numFmt numFmtId="202" formatCode="0%"/>
    <x:numFmt numFmtId="203" formatCode="0.0"/>
    <x:numFmt numFmtId="204" formatCode="mmm yyyy"/>
    <x:numFmt numFmtId="205" formatCode="#,##0.00"/>
    <x:numFmt numFmtId="206" formatCode="0.0%"/>
  </x:numFmts>
  <x:fonts count="24">
    <x:font>
      <x:sz val="11"/>
      <x:name val="Carlito"/>
    </x:font>
    <x:font>
      <x:sz val="10"/>
      <x:color rgb="1F2937"/>
      <x:name val="Aptos"/>
    </x:font>
    <x:font>
      <x:b/>
      <x:sz val="18"/>
      <x:color rgb="124A2F"/>
      <x:name val="Aptos"/>
    </x:font>
    <x:font>
      <x:i/>
      <x:sz val="10"/>
      <x:color rgb="64748B"/>
      <x:name val="Aptos"/>
    </x:font>
    <x:font>
      <x:b/>
      <x:sz val="12"/>
      <x:color rgb="185C37"/>
      <x:name val="Aptos"/>
    </x:font>
    <x:font>
      <x:b/>
      <x:sz val="10"/>
      <x:color rgb="185C37"/>
      <x:name val="Aptos"/>
    </x:font>
    <x:font>
      <x:b/>
      <x:sz val="12"/>
      <x:color rgb="92400E"/>
      <x:name val="Aptos"/>
    </x:font>
    <x:font>
      <x:b/>
      <x:sz val="10"/>
      <x:color rgb="9A3412"/>
      <x:name val="Aptos"/>
    </x:font>
    <x:font>
      <x:sz val="11"/>
      <x:color rgb="334155"/>
      <x:name val="Aptos"/>
    </x:font>
    <x:font>
      <x:b/>
      <x:sz val="18"/>
      <x:color rgb="334155"/>
      <x:name val="Aptos"/>
    </x:font>
    <x:font>
      <x:b/>
      <x:sz val="10"/>
      <x:color rgb="334155"/>
      <x:name val="Aptos"/>
    </x:font>
    <x:font>
      <x:b/>
      <x:sz val="10"/>
      <x:color rgb="075985"/>
      <x:name val="Aptos"/>
    </x:font>
    <x:font>
      <x:b/>
      <x:sz val="10"/>
      <x:color rgb="5B21B6"/>
      <x:name val="Aptos"/>
    </x:font>
    <x:font>
      <x:b/>
      <x:sz val="10"/>
      <x:color rgb="92400E"/>
      <x:name val="Aptos"/>
    </x:font>
    <x:font>
      <x:b/>
      <x:sz val="12"/>
      <x:color rgb="3730A3"/>
      <x:name val="Aptos"/>
    </x:font>
    <x:font>
      <x:b/>
      <x:sz val="10"/>
      <x:color rgb="1E40AF"/>
      <x:name val="Aptos"/>
    </x:font>
    <x:font>
      <x:b/>
      <x:sz val="12"/>
      <x:color rgb="115E59"/>
      <x:name val="Aptos"/>
    </x:font>
    <x:font>
      <x:b/>
      <x:sz val="10"/>
      <x:color rgb="115E59"/>
      <x:name val="Aptos"/>
    </x:font>
    <x:font>
      <x:b/>
      <x:sz val="14"/>
      <x:color rgb="334155"/>
      <x:name val="Aptos"/>
    </x:font>
    <x:font>
      <x:b/>
      <x:sz val="10"/>
      <x:color rgb="854D0E"/>
      <x:name val="Aptos"/>
    </x:font>
    <x:font>
      <x:b/>
      <x:sz val="10"/>
      <x:color rgb="64748B"/>
      <x:name val="Aptos"/>
    </x:font>
    <x:font>
      <x:b/>
      <x:sz val="20"/>
      <x:color rgb="185C37"/>
      <x:name val="Aptos"/>
    </x:font>
    <x:font>
      <x:sz val="11"/>
      <x:color rgb="9A3412"/>
      <x:name val="Aptos"/>
    </x:font>
    <x:font>
      <x:b/>
      <x:sz val="10"/>
      <x:color rgb="166534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3FFF8"/>
      </x:patternFill>
    </x:fill>
    <x:fill>
      <x:patternFill patternType="solid">
        <x:fgColor rgb="EAFBF1"/>
      </x:patternFill>
    </x:fill>
    <x:fill>
      <x:patternFill patternType="solid">
        <x:fgColor rgb="E6F7ED"/>
      </x:patternFill>
    </x:fill>
    <x:fill>
      <x:patternFill patternType="solid">
        <x:fgColor rgb="FFF7ED"/>
      </x:patternFill>
    </x:fill>
    <x:fill>
      <x:patternFill patternType="solid">
        <x:fgColor rgb="FFEDD5"/>
      </x:patternFill>
    </x:fill>
    <x:fill>
      <x:patternFill patternType="solid">
        <x:fgColor rgb="F8FAFC"/>
      </x:patternFill>
    </x:fill>
    <x:fill>
      <x:patternFill patternType="solid">
        <x:fgColor rgb="E2E8F0"/>
      </x:patternFill>
    </x:fill>
    <x:fill>
      <x:patternFill patternType="solid">
        <x:fgColor rgb="E0F2FE"/>
      </x:patternFill>
    </x:fill>
    <x:fill>
      <x:patternFill patternType="solid">
        <x:fgColor rgb="EDE9FE"/>
      </x:patternFill>
    </x:fill>
    <x:fill>
      <x:patternFill patternType="solid">
        <x:fgColor rgb="FEF3C7"/>
      </x:patternFill>
    </x:fill>
    <x:fill>
      <x:patternFill patternType="solid">
        <x:fgColor rgb="EEF2FF"/>
      </x:patternFill>
    </x:fill>
    <x:fill>
      <x:patternFill patternType="solid">
        <x:fgColor rgb="DBEAFE"/>
      </x:patternFill>
    </x:fill>
    <x:fill>
      <x:patternFill patternType="solid">
        <x:fgColor rgb="F0FDFA"/>
      </x:patternFill>
    </x:fill>
    <x:fill>
      <x:patternFill patternType="solid">
        <x:fgColor rgb="CCFBF1"/>
      </x:patternFill>
    </x:fill>
    <x:fill>
      <x:patternFill patternType="solid">
        <x:fgColor rgb="F1F5F9"/>
      </x:patternFill>
    </x:fill>
    <x:fill>
      <x:patternFill patternType="solid">
        <x:fgColor rgb="FEF9C3"/>
      </x:patternFill>
    </x:fill>
    <x:fill>
      <x:patternFill patternType="solid">
        <x:fgColor rgb="DCFCE7"/>
      </x:patternFill>
    </x:fill>
  </x:fills>
  <x:borders count="50">
    <x:border/>
    <x:border/>
    <x:border>
      <x:left style="thin">
        <x:color rgb="D8E8DE"/>
      </x:left>
      <x:top style="thin">
        <x:color rgb="D8E8DE"/>
      </x:top>
      <x:bottom style="thin">
        <x:color rgb="D8E8DE"/>
      </x:bottom>
    </x:border>
    <x:border>
      <x:top style="thin">
        <x:color rgb="D8E8DE"/>
      </x:top>
      <x:bottom style="thin">
        <x:color rgb="D8E8DE"/>
      </x:bottom>
    </x:border>
    <x:border>
      <x:right style="thin">
        <x:color rgb="D8E8DE"/>
      </x:right>
      <x:top style="thin">
        <x:color rgb="D8E8DE"/>
      </x:top>
      <x:bottom style="thin">
        <x:color rgb="D8E8DE"/>
      </x:bottom>
    </x:border>
    <x:border>
      <x:left style="thin">
        <x:color rgb="D8E8DE"/>
      </x:left>
      <x:top style="thin">
        <x:color rgb="D8E8DE"/>
      </x:top>
      <x:bottom style="thin">
        <x:color rgb="D8E8DE"/>
      </x:bottom>
    </x:border>
    <x:border>
      <x:top style="thin">
        <x:color rgb="D8E8DE"/>
      </x:top>
      <x:bottom style="thin">
        <x:color rgb="D8E8DE"/>
      </x:bottom>
    </x:border>
    <x:border>
      <x:right style="thin">
        <x:color rgb="D8E8DE"/>
      </x:right>
      <x:top style="thin">
        <x:color rgb="D8E8DE"/>
      </x:top>
      <x:bottom style="thin">
        <x:color rgb="D8E8DE"/>
      </x:bottom>
    </x:border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FACC15"/>
      </x:left>
      <x:right style="thin">
        <x:color rgb="FACC15"/>
      </x:right>
      <x:top style="thin">
        <x:color rgb="FACC15"/>
      </x:top>
      <x:bottom style="thin">
        <x:color rgb="EEF2F7"/>
      </x:bottom>
    </x:border>
    <x:border>
      <x:left style="thin">
        <x:color rgb="FACC15"/>
      </x:left>
      <x:right style="thin">
        <x:color rgb="FACC15"/>
      </x:right>
      <x:top style="thin">
        <x:color rgb="EEF2F7"/>
      </x:top>
      <x:bottom style="thin">
        <x:color rgb="EEF2F7"/>
      </x:bottom>
    </x:border>
    <x:border>
      <x:left style="thin">
        <x:color rgb="FACC15"/>
      </x:left>
      <x:right style="thin">
        <x:color rgb="FACC15"/>
      </x:right>
      <x:top style="thin">
        <x:color rgb="EEF2F7"/>
      </x:top>
      <x:bottom style="thin">
        <x:color rgb="FACC15"/>
      </x:bottom>
    </x:border>
    <x:border>
      <x:left style="thin">
        <x:color rgb="FACC15"/>
      </x:left>
      <x:right style="thin">
        <x:color rgb="FACC15"/>
      </x:right>
      <x:top style="thin">
        <x:color rgb="FACC15"/>
      </x:top>
      <x:bottom style="thin">
        <x:color rgb="EEF2F7"/>
      </x:bottom>
    </x:border>
    <x:border>
      <x:left style="thin">
        <x:color rgb="FACC15"/>
      </x:left>
      <x:right style="thin">
        <x:color rgb="FACC15"/>
      </x:right>
      <x:top style="thin">
        <x:color rgb="EEF2F7"/>
      </x:top>
      <x:bottom style="thin">
        <x:color rgb="EEF2F7"/>
      </x:bottom>
    </x:border>
    <x:border>
      <x:left style="thin">
        <x:color rgb="FACC15"/>
      </x:left>
      <x:right style="thin">
        <x:color rgb="FACC15"/>
      </x:right>
      <x:top style="thin">
        <x:color rgb="EEF2F7"/>
      </x:top>
      <x:bottom style="thin">
        <x:color rgb="FACC15"/>
      </x:bottom>
    </x:border>
    <x:border>
      <x:left style="thin">
        <x:color rgb="FED7AA"/>
      </x:left>
      <x:top style="thin">
        <x:color rgb="FED7AA"/>
      </x:top>
    </x:border>
    <x:border>
      <x:top style="thin">
        <x:color rgb="FED7AA"/>
      </x:top>
    </x:border>
    <x:border>
      <x:right style="thin">
        <x:color rgb="FED7AA"/>
      </x:right>
      <x:top style="thin">
        <x:color rgb="FED7AA"/>
      </x:top>
    </x:border>
    <x:border>
      <x:left style="thin">
        <x:color rgb="FED7AA"/>
      </x:left>
    </x:border>
    <x:border>
      <x:right style="thin">
        <x:color rgb="FED7AA"/>
      </x:right>
    </x:border>
    <x:border>
      <x:left style="thin">
        <x:color rgb="FED7AA"/>
      </x:left>
      <x:bottom style="thin">
        <x:color rgb="FED7AA"/>
      </x:bottom>
    </x:border>
    <x:border>
      <x:bottom style="thin">
        <x:color rgb="FED7AA"/>
      </x:bottom>
    </x:border>
    <x:border>
      <x:right style="thin">
        <x:color rgb="FED7AA"/>
      </x:right>
      <x:bottom style="thin">
        <x:color rgb="FED7AA"/>
      </x:bottom>
    </x:border>
    <x:border>
      <x:left style="thin">
        <x:color rgb="FED7AA"/>
      </x:left>
      <x:top style="thin">
        <x:color rgb="FED7AA"/>
      </x:top>
    </x:border>
    <x:border>
      <x:top style="thin">
        <x:color rgb="FED7AA"/>
      </x:top>
    </x:border>
    <x:border>
      <x:right style="thin">
        <x:color rgb="FED7AA"/>
      </x:right>
      <x:top style="thin">
        <x:color rgb="FED7AA"/>
      </x:top>
    </x:border>
    <x:border>
      <x:left style="thin">
        <x:color rgb="FED7AA"/>
      </x:left>
    </x:border>
    <x:border>
      <x:right style="thin">
        <x:color rgb="FED7AA"/>
      </x:right>
    </x:border>
    <x:border>
      <x:left style="thin">
        <x:color rgb="FED7AA"/>
      </x:left>
      <x:bottom style="thin">
        <x:color rgb="FED7AA"/>
      </x:bottom>
    </x:border>
    <x:border>
      <x:bottom style="thin">
        <x:color rgb="FED7AA"/>
      </x:bottom>
    </x:border>
    <x:border>
      <x:right style="thin">
        <x:color rgb="FED7AA"/>
      </x:right>
      <x:bottom style="thin">
        <x:color rgb="FED7AA"/>
      </x:bottom>
    </x:border>
  </x:borders>
  <x:cellStyleXfs count="1">
    <x:xf numFmtId="0" fontId="0" fillId="0" borderId="0"/>
  </x:cellStyleXfs>
  <x:cellXfs count="4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horizontal="left"/>
    </x:xf>
    <x:xf numFmtId="0" fontId="4" fillId="3" borderId="3" xfId="0" applyNumberFormat="1" applyFont="1" applyFill="1" applyBorder="1" applyAlignment="1">
      <x:alignment horizontal="left"/>
    </x:xf>
    <x:xf numFmtId="0" fontId="4" fillId="3" borderId="4" xfId="0" applyNumberFormat="1" applyFont="1" applyFill="1" applyBorder="1" applyAlignment="1">
      <x:alignment horizontal="left"/>
    </x:xf>
    <x:xf numFmtId="0" fontId="4" fillId="3" borderId="2" xfId="0" applyNumberFormat="1" applyFont="1" applyFill="1" applyBorder="1" applyAlignment="1">
      <x:alignment horizontal="left" vertical="center"/>
    </x:xf>
    <x:xf numFmtId="0" fontId="4" fillId="3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horizontal="left"/>
    </x:xf>
    <x:xf numFmtId="0" fontId="4" fillId="3" borderId="6" xfId="0" applyNumberFormat="1" applyFont="1" applyFill="1" applyBorder="1" applyAlignment="1">
      <x:alignment horizontal="left"/>
    </x:xf>
    <x:xf numFmtId="0" fontId="4" fillId="3" borderId="7" xfId="0" applyNumberFormat="1" applyFont="1" applyFill="1" applyBorder="1" applyAlignment="1">
      <x:alignment horizontal="left"/>
    </x:xf>
    <x:xf numFmtId="0" fontId="4" fillId="3" borderId="5" xfId="0" applyNumberFormat="1" applyFont="1" applyFill="1" applyBorder="1" applyAlignment="1">
      <x:alignment horizontal="left" vertical="center"/>
    </x:xf>
    <x:xf numFmtId="0" fontId="4" fillId="3" borderId="6" xfId="0" applyNumberFormat="1" applyFont="1" applyFill="1" applyBorder="1" applyAlignment="1">
      <x:alignment horizontal="left" vertical="center"/>
    </x:xf>
    <x:xf numFmtId="0" fontId="4" fillId="3" borderId="7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8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9" xfId="0" applyNumberFormat="1" applyFont="1" applyFill="1" applyBorder="1"/>
    <x:xf numFmtId="0" fontId="5" fillId="4" borderId="9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/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/>
    <x:xf numFmtId="0" fontId="1" fillId="0" borderId="11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horizontal="left"/>
    </x:xf>
    <x:xf numFmtId="0" fontId="6" fillId="5" borderId="3" xfId="0" applyNumberFormat="1" applyFont="1" applyFill="1" applyBorder="1" applyAlignment="1">
      <x:alignment horizontal="left"/>
    </x:xf>
    <x:xf numFmtId="0" fontId="6" fillId="5" borderId="4" xfId="0" applyNumberFormat="1" applyFont="1" applyFill="1" applyBorder="1" applyAlignment="1">
      <x:alignment horizontal="left"/>
    </x:xf>
    <x:xf numFmtId="0" fontId="6" fillId="5" borderId="2" xfId="0" applyNumberFormat="1" applyFont="1" applyFill="1" applyBorder="1" applyAlignment="1">
      <x:alignment horizontal="left" vertical="center"/>
    </x:xf>
    <x:xf numFmtId="0" fontId="6" fillId="5" borderId="3" xfId="0" applyNumberFormat="1" applyFont="1" applyFill="1" applyBorder="1" applyAlignment="1">
      <x:alignment horizontal="left" vertical="center"/>
    </x:xf>
    <x:xf numFmtId="0" fontId="6" fillId="5" borderId="4" xfId="0" applyNumberFormat="1" applyFont="1" applyFill="1" applyBorder="1" applyAlignment="1">
      <x:alignment horizontal="left" vertical="center"/>
    </x:xf>
    <x:xf numFmtId="0" fontId="1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horizontal="left"/>
    </x:xf>
    <x:xf numFmtId="0" fontId="6" fillId="5" borderId="6" xfId="0" applyNumberFormat="1" applyFont="1" applyFill="1" applyBorder="1" applyAlignment="1">
      <x:alignment horizontal="left"/>
    </x:xf>
    <x:xf numFmtId="0" fontId="6" fillId="5" borderId="7" xfId="0" applyNumberFormat="1" applyFont="1" applyFill="1" applyBorder="1" applyAlignment="1">
      <x:alignment horizontal="left"/>
    </x:xf>
    <x:xf numFmtId="0" fontId="6" fillId="5" borderId="5" xfId="0" applyNumberFormat="1" applyFont="1" applyFill="1" applyBorder="1" applyAlignment="1">
      <x:alignment horizontal="left" vertical="center"/>
    </x:xf>
    <x:xf numFmtId="0" fontId="6" fillId="5" borderId="6" xfId="0" applyNumberFormat="1" applyFont="1" applyFill="1" applyBorder="1" applyAlignment="1">
      <x:alignment horizontal="left" vertical="center"/>
    </x:xf>
    <x:xf numFmtId="0" fontId="6" fillId="5" borderId="7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horizont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9" xfId="0" applyNumberFormat="1" applyFont="1" applyFill="1" applyBorder="1"/>
    <x:xf numFmtId="0" fontId="7" fillId="6" borderId="9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horizont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9" xfId="0" applyNumberFormat="1" applyFont="1" applyFill="1" applyBorder="1"/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vertical="top" wrapText="1"/>
    </x:xf>
    <x:xf numFmtId="0" fontId="8" fillId="7" borderId="14" xfId="0" applyNumberFormat="1" applyFont="1" applyFill="1" applyBorder="1" applyAlignment="1">
      <x:alignment vertical="top" wrapText="1"/>
    </x:xf>
    <x:xf numFmtId="0" fontId="8" fillId="7" borderId="15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16" xfId="0" applyNumberFormat="1" applyFont="1" applyFill="1" applyBorder="1" applyAlignment="1">
      <x:alignment vertical="top" wrapText="1"/>
    </x:xf>
    <x:xf numFmtId="0" fontId="8" fillId="7" borderId="17" xfId="0" applyNumberFormat="1" applyFont="1" applyFill="1" applyBorder="1" applyAlignment="1">
      <x:alignment vertical="top" wrapText="1"/>
    </x:xf>
    <x:xf numFmtId="0" fontId="8" fillId="7" borderId="18" xfId="0" applyNumberFormat="1" applyFont="1" applyFill="1" applyBorder="1" applyAlignment="1">
      <x:alignment vertical="top" wrapText="1"/>
    </x:xf>
    <x:xf numFmtId="0" fontId="8" fillId="7" borderId="19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20" xfId="0" applyNumberFormat="1" applyFont="1" applyFill="1" applyBorder="1"/>
    <x:xf numFmtId="0" fontId="8" fillId="7" borderId="21" xfId="0" applyNumberFormat="1" applyFont="1" applyFill="1" applyBorder="1"/>
    <x:xf numFmtId="0" fontId="8" fillId="7" borderId="22" xfId="0" applyNumberFormat="1" applyFont="1" applyFill="1" applyBorder="1"/>
    <x:xf numFmtId="0" fontId="8" fillId="7" borderId="23" xfId="0" applyNumberFormat="1" applyFont="1" applyFill="1" applyBorder="1"/>
    <x:xf numFmtId="0" fontId="8" fillId="7" borderId="24" xfId="0" applyNumberFormat="1" applyFont="1" applyFill="1" applyBorder="1"/>
    <x:xf numFmtId="0" fontId="8" fillId="7" borderId="25" xfId="0" applyNumberFormat="1" applyFont="1" applyFill="1" applyBorder="1"/>
    <x:xf numFmtId="0" fontId="8" fillId="7" borderId="26" xfId="0" applyNumberFormat="1" applyFont="1" applyFill="1" applyBorder="1"/>
    <x:xf numFmtId="0" fontId="8" fillId="7" borderId="27" xfId="0" applyNumberFormat="1" applyFont="1" applyFill="1" applyBorder="1"/>
    <x:xf numFmtId="0" fontId="8" fillId="7" borderId="20" xfId="0" applyNumberFormat="1" applyFont="1" applyFill="1" applyBorder="1" applyAlignment="1">
      <x:alignment wrapText="1"/>
    </x:xf>
    <x:xf numFmtId="0" fontId="8" fillId="7" borderId="21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23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wrapText="1"/>
    </x:xf>
    <x:xf numFmtId="0" fontId="8" fillId="7" borderId="25" xfId="0" applyNumberFormat="1" applyFont="1" applyFill="1" applyBorder="1" applyAlignment="1">
      <x:alignment wrapText="1"/>
    </x:xf>
    <x:xf numFmtId="0" fontId="8" fillId="7" borderId="26" xfId="0" applyNumberFormat="1" applyFont="1" applyFill="1" applyBorder="1" applyAlignment="1">
      <x:alignment wrapText="1"/>
    </x:xf>
    <x:xf numFmtId="0" fontId="8" fillId="7" borderId="27" xfId="0" applyNumberFormat="1" applyFont="1" applyFill="1" applyBorder="1" applyAlignment="1">
      <x:alignment wrapText="1"/>
    </x:xf>
    <x:xf numFmtId="0" fontId="8" fillId="7" borderId="20" xfId="0" applyNumberFormat="1" applyFont="1" applyFill="1" applyBorder="1" applyAlignment="1">
      <x:alignment vertical="top" wrapText="1"/>
    </x:xf>
    <x:xf numFmtId="0" fontId="8" fillId="7" borderId="21" xfId="0" applyNumberFormat="1" applyFont="1" applyFill="1" applyBorder="1" applyAlignment="1">
      <x:alignment vertical="top" wrapText="1"/>
    </x:xf>
    <x:xf numFmtId="0" fontId="8" fillId="7" borderId="22" xfId="0" applyNumberFormat="1" applyFont="1" applyFill="1" applyBorder="1" applyAlignment="1">
      <x:alignment vertical="top" wrapText="1"/>
    </x:xf>
    <x:xf numFmtId="0" fontId="8" fillId="7" borderId="23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24" xfId="0" applyNumberFormat="1" applyFont="1" applyFill="1" applyBorder="1" applyAlignment="1">
      <x:alignment vertical="top" wrapText="1"/>
    </x:xf>
    <x:xf numFmtId="0" fontId="8" fillId="7" borderId="25" xfId="0" applyNumberFormat="1" applyFont="1" applyFill="1" applyBorder="1" applyAlignment="1">
      <x:alignment vertical="top" wrapText="1"/>
    </x:xf>
    <x:xf numFmtId="0" fontId="8" fillId="7" borderId="26" xfId="0" applyNumberFormat="1" applyFont="1" applyFill="1" applyBorder="1" applyAlignment="1">
      <x:alignment vertical="top" wrapText="1"/>
    </x:xf>
    <x:xf numFmtId="0" fontId="8" fillId="7" borderId="27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/>
    </x:xf>
    <x:xf numFmtId="0" fontId="9" fillId="7" borderId="0" xfId="0" applyNumberFormat="1" applyFont="1" applyFill="1" applyBorder="1" applyAlignment="1">
      <x:alignment horizontal="left" vertical="center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left"/>
    </x:xf>
    <x:xf numFmtId="0" fontId="9" fillId="7" borderId="1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8" xfId="0" applyNumberFormat="1" applyFont="1" applyFill="1" applyBorder="1"/>
    <x:xf numFmtId="0" fontId="10" fillId="8" borderId="8" xfId="0" applyNumberFormat="1" applyFont="1" applyFill="1" applyBorder="1" applyAlignment="1">
      <x:alignment wrapText="1"/>
    </x:xf>
    <x:xf numFmtId="0" fontId="10" fillId="8" borderId="8" xfId="0" applyNumberFormat="1" applyFont="1" applyFill="1" applyBorder="1" applyAlignment="1">
      <x:alignment horizontal="center" wrapText="1"/>
    </x:xf>
    <x:xf numFmtId="0" fontId="10" fillId="8" borderId="8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9" xfId="0" applyNumberFormat="1" applyFont="1" applyFill="1" applyBorder="1"/>
    <x:xf numFmtId="0" fontId="10" fillId="8" borderId="9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horizontal="center" wrapText="1"/>
    </x:xf>
    <x:xf numFmtId="0" fontId="10" fillId="8" borderId="9" xfId="0" applyNumberFormat="1" applyFont="1" applyFill="1" applyBorder="1" applyAlignment="1">
      <x:alignment horizontal="center" vertical="center" wrapText="1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8" xfId="0" applyNumberFormat="1" applyFont="1" applyFill="1" applyBorder="1"/>
    <x:xf numFmtId="0" fontId="11" fillId="9" borderId="8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horizontal="center" wrapText="1"/>
    </x:xf>
    <x:xf numFmtId="0" fontId="11" fillId="9" borderId="8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/>
    <x:xf numFmtId="0" fontId="11" fillId="9" borderId="1" xfId="0" applyNumberFormat="1" applyFont="1" applyFill="1" applyBorder="1"/>
    <x:xf numFmtId="0" fontId="11" fillId="9" borderId="9" xfId="0" applyNumberFormat="1" applyFont="1" applyFill="1" applyBorder="1"/>
    <x:xf numFmtId="0" fontId="11" fillId="9" borderId="9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horizontal="center" wrapText="1"/>
    </x:xf>
    <x:xf numFmtId="0" fontId="11" fillId="9" borderId="9" xfId="0" applyNumberFormat="1" applyFont="1" applyFill="1" applyBorder="1" applyAlignment="1">
      <x:alignment horizontal="center" vertical="center" wrapText="1"/>
    </x:xf>
    <x:xf numFmtId="204" fontId="1" fillId="0" borderId="10" xfId="0" applyNumberFormat="1" applyFont="1" applyFill="1" applyBorder="1" applyAlignment="1">
      <x:alignment vertical="center"/>
    </x:xf>
    <x:xf numFmtId="204" fontId="1" fillId="0" borderId="11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8" xfId="0" applyNumberFormat="1" applyFont="1" applyFill="1" applyBorder="1"/>
    <x:xf numFmtId="0" fontId="12" fillId="10" borderId="8" xfId="0" applyNumberFormat="1" applyFont="1" applyFill="1" applyBorder="1" applyAlignment="1">
      <x:alignment wrapText="1"/>
    </x:xf>
    <x:xf numFmtId="0" fontId="12" fillId="10" borderId="8" xfId="0" applyNumberFormat="1" applyFont="1" applyFill="1" applyBorder="1" applyAlignment="1">
      <x:alignment horizontal="center" wrapText="1"/>
    </x:xf>
    <x:xf numFmtId="0" fontId="12" fillId="10" borderId="8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/>
    <x:xf numFmtId="0" fontId="12" fillId="10" borderId="1" xfId="0" applyNumberFormat="1" applyFont="1" applyFill="1" applyBorder="1"/>
    <x:xf numFmtId="0" fontId="12" fillId="10" borderId="9" xfId="0" applyNumberFormat="1" applyFont="1" applyFill="1" applyBorder="1"/>
    <x:xf numFmtId="0" fontId="12" fillId="10" borderId="9" xfId="0" applyNumberFormat="1" applyFont="1" applyFill="1" applyBorder="1" applyAlignment="1">
      <x:alignment wrapText="1"/>
    </x:xf>
    <x:xf numFmtId="0" fontId="12" fillId="10" borderId="9" xfId="0" applyNumberFormat="1" applyFont="1" applyFill="1" applyBorder="1" applyAlignment="1">
      <x:alignment horizontal="center" wrapText="1"/>
    </x:xf>
    <x:xf numFmtId="0" fontId="12" fillId="10" borderId="9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8" xfId="0" applyNumberFormat="1" applyFont="1" applyFill="1" applyBorder="1"/>
    <x:xf numFmtId="0" fontId="13" fillId="11" borderId="8" xfId="0" applyNumberFormat="1" applyFont="1" applyFill="1" applyBorder="1" applyAlignment="1">
      <x:alignment wrapText="1"/>
    </x:xf>
    <x:xf numFmtId="0" fontId="13" fillId="11" borderId="8" xfId="0" applyNumberFormat="1" applyFont="1" applyFill="1" applyBorder="1" applyAlignment="1">
      <x:alignment horizontal="center" wrapText="1"/>
    </x:xf>
    <x:xf numFmtId="0" fontId="13" fillId="11" borderId="8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/>
    <x:xf numFmtId="0" fontId="13" fillId="11" borderId="1" xfId="0" applyNumberFormat="1" applyFont="1" applyFill="1" applyBorder="1"/>
    <x:xf numFmtId="0" fontId="13" fillId="11" borderId="9" xfId="0" applyNumberFormat="1" applyFont="1" applyFill="1" applyBorder="1"/>
    <x:xf numFmtId="0" fontId="13" fillId="11" borderId="9" xfId="0" applyNumberFormat="1" applyFont="1" applyFill="1" applyBorder="1" applyAlignment="1">
      <x:alignment wrapText="1"/>
    </x:xf>
    <x:xf numFmtId="0" fontId="13" fillId="11" borderId="9" xfId="0" applyNumberFormat="1" applyFont="1" applyFill="1" applyBorder="1" applyAlignment="1">
      <x:alignment horizontal="center" wrapText="1"/>
    </x:xf>
    <x:xf numFmtId="0" fontId="13" fillId="11" borderId="9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2" xfId="0" applyNumberFormat="1" applyFont="1" applyFill="1" applyBorder="1"/>
    <x:xf numFmtId="0" fontId="14" fillId="12" borderId="3" xfId="0" applyNumberFormat="1" applyFont="1" applyFill="1" applyBorder="1"/>
    <x:xf numFmtId="0" fontId="14" fillId="12" borderId="4" xfId="0" applyNumberFormat="1" applyFont="1" applyFill="1" applyBorder="1"/>
    <x:xf numFmtId="0" fontId="14" fillId="12" borderId="2" xfId="0" applyNumberFormat="1" applyFont="1" applyFill="1" applyBorder="1" applyAlignment="1">
      <x:alignment horizontal="left"/>
    </x:xf>
    <x:xf numFmtId="0" fontId="14" fillId="12" borderId="3" xfId="0" applyNumberFormat="1" applyFont="1" applyFill="1" applyBorder="1" applyAlignment="1">
      <x:alignment horizontal="left"/>
    </x:xf>
    <x:xf numFmtId="0" fontId="14" fillId="12" borderId="4" xfId="0" applyNumberFormat="1" applyFont="1" applyFill="1" applyBorder="1" applyAlignment="1">
      <x:alignment horizontal="left"/>
    </x:xf>
    <x:xf numFmtId="0" fontId="14" fillId="12" borderId="2" xfId="0" applyNumberFormat="1" applyFont="1" applyFill="1" applyBorder="1" applyAlignment="1">
      <x:alignment horizontal="left" vertical="center"/>
    </x:xf>
    <x:xf numFmtId="0" fontId="14" fillId="12" borderId="3" xfId="0" applyNumberFormat="1" applyFont="1" applyFill="1" applyBorder="1" applyAlignment="1">
      <x:alignment horizontal="left" vertical="center"/>
    </x:xf>
    <x:xf numFmtId="0" fontId="14" fillId="12" borderId="4" xfId="0" applyNumberFormat="1" applyFont="1" applyFill="1" applyBorder="1" applyAlignment="1">
      <x:alignment horizontal="left" vertical="center"/>
    </x:xf>
    <x:xf numFmtId="0" fontId="1" fillId="12" borderId="1" xfId="0" applyNumberFormat="1" applyFont="1" applyFill="1" applyBorder="1"/>
    <x:xf numFmtId="0" fontId="14" fillId="12" borderId="1" xfId="0" applyNumberFormat="1" applyFont="1" applyFill="1" applyBorder="1"/>
    <x:xf numFmtId="0" fontId="14" fillId="12" borderId="5" xfId="0" applyNumberFormat="1" applyFont="1" applyFill="1" applyBorder="1"/>
    <x:xf numFmtId="0" fontId="14" fillId="12" borderId="6" xfId="0" applyNumberFormat="1" applyFont="1" applyFill="1" applyBorder="1"/>
    <x:xf numFmtId="0" fontId="14" fillId="12" borderId="7" xfId="0" applyNumberFormat="1" applyFont="1" applyFill="1" applyBorder="1"/>
    <x:xf numFmtId="0" fontId="14" fillId="12" borderId="5" xfId="0" applyNumberFormat="1" applyFont="1" applyFill="1" applyBorder="1" applyAlignment="1">
      <x:alignment horizontal="left"/>
    </x:xf>
    <x:xf numFmtId="0" fontId="14" fillId="12" borderId="6" xfId="0" applyNumberFormat="1" applyFont="1" applyFill="1" applyBorder="1" applyAlignment="1">
      <x:alignment horizontal="left"/>
    </x:xf>
    <x:xf numFmtId="0" fontId="14" fillId="12" borderId="7" xfId="0" applyNumberFormat="1" applyFont="1" applyFill="1" applyBorder="1" applyAlignment="1">
      <x:alignment horizontal="left"/>
    </x:xf>
    <x:xf numFmtId="0" fontId="14" fillId="12" borderId="5" xfId="0" applyNumberFormat="1" applyFont="1" applyFill="1" applyBorder="1" applyAlignment="1">
      <x:alignment horizontal="left" vertical="center"/>
    </x:xf>
    <x:xf numFmtId="0" fontId="14" fillId="12" borderId="6" xfId="0" applyNumberFormat="1" applyFont="1" applyFill="1" applyBorder="1" applyAlignment="1">
      <x:alignment horizontal="left" vertical="center"/>
    </x:xf>
    <x:xf numFmtId="0" fontId="14" fillId="12" borderId="7" xfId="0" applyNumberFormat="1" applyFont="1" applyFill="1" applyBorder="1" applyAlignment="1">
      <x:alignment horizontal="left" vertical="center"/>
    </x:xf>
    <x:xf numFmtId="0" fontId="1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8" xfId="0" applyNumberFormat="1" applyFont="1" applyFill="1" applyBorder="1"/>
    <x:xf numFmtId="0" fontId="15" fillId="13" borderId="8" xfId="0" applyNumberFormat="1" applyFont="1" applyFill="1" applyBorder="1" applyAlignment="1">
      <x:alignment wrapText="1"/>
    </x:xf>
    <x:xf numFmtId="0" fontId="15" fillId="13" borderId="8" xfId="0" applyNumberFormat="1" applyFont="1" applyFill="1" applyBorder="1" applyAlignment="1">
      <x:alignment horizontal="center" wrapText="1"/>
    </x:xf>
    <x:xf numFmtId="0" fontId="15" fillId="13" borderId="8" xfId="0" applyNumberFormat="1" applyFont="1" applyFill="1" applyBorder="1" applyAlignment="1">
      <x:alignment horizontal="center" vertical="center" wrapText="1"/>
    </x:xf>
    <x:xf numFmtId="0" fontId="1" fillId="13" borderId="1" xfId="0" applyNumberFormat="1" applyFont="1" applyFill="1" applyBorder="1"/>
    <x:xf numFmtId="0" fontId="15" fillId="13" borderId="1" xfId="0" applyNumberFormat="1" applyFont="1" applyFill="1" applyBorder="1"/>
    <x:xf numFmtId="0" fontId="15" fillId="13" borderId="9" xfId="0" applyNumberFormat="1" applyFont="1" applyFill="1" applyBorder="1"/>
    <x:xf numFmtId="0" fontId="15" fillId="13" borderId="9" xfId="0" applyNumberFormat="1" applyFont="1" applyFill="1" applyBorder="1" applyAlignment="1">
      <x:alignment wrapText="1"/>
    </x:xf>
    <x:xf numFmtId="0" fontId="15" fillId="13" borderId="9" xfId="0" applyNumberFormat="1" applyFont="1" applyFill="1" applyBorder="1" applyAlignment="1">
      <x:alignment horizontal="center" wrapText="1"/>
    </x:xf>
    <x:xf numFmtId="0" fontId="15" fillId="13" borderId="9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/>
    <x:xf numFmtId="0" fontId="16" fillId="14" borderId="0" xfId="0" applyNumberFormat="1" applyFont="1" applyFill="1" applyBorder="1"/>
    <x:xf numFmtId="0" fontId="16" fillId="14" borderId="2" xfId="0" applyNumberFormat="1" applyFont="1" applyFill="1" applyBorder="1"/>
    <x:xf numFmtId="0" fontId="16" fillId="14" borderId="3" xfId="0" applyNumberFormat="1" applyFont="1" applyFill="1" applyBorder="1"/>
    <x:xf numFmtId="0" fontId="16" fillId="14" borderId="4" xfId="0" applyNumberFormat="1" applyFont="1" applyFill="1" applyBorder="1"/>
    <x:xf numFmtId="0" fontId="16" fillId="14" borderId="2" xfId="0" applyNumberFormat="1" applyFont="1" applyFill="1" applyBorder="1" applyAlignment="1">
      <x:alignment horizontal="left"/>
    </x:xf>
    <x:xf numFmtId="0" fontId="16" fillId="14" borderId="3" xfId="0" applyNumberFormat="1" applyFont="1" applyFill="1" applyBorder="1" applyAlignment="1">
      <x:alignment horizontal="left"/>
    </x:xf>
    <x:xf numFmtId="0" fontId="16" fillId="14" borderId="4" xfId="0" applyNumberFormat="1" applyFont="1" applyFill="1" applyBorder="1" applyAlignment="1">
      <x:alignment horizontal="left"/>
    </x:xf>
    <x:xf numFmtId="0" fontId="16" fillId="14" borderId="2" xfId="0" applyNumberFormat="1" applyFont="1" applyFill="1" applyBorder="1" applyAlignment="1">
      <x:alignment horizontal="left" vertical="center"/>
    </x:xf>
    <x:xf numFmtId="0" fontId="16" fillId="14" borderId="3" xfId="0" applyNumberFormat="1" applyFont="1" applyFill="1" applyBorder="1" applyAlignment="1">
      <x:alignment horizontal="left" vertical="center"/>
    </x:xf>
    <x:xf numFmtId="0" fontId="16" fillId="14" borderId="4" xfId="0" applyNumberFormat="1" applyFont="1" applyFill="1" applyBorder="1" applyAlignment="1">
      <x:alignment horizontal="left" vertical="center"/>
    </x:xf>
    <x:xf numFmtId="0" fontId="1" fillId="14" borderId="1" xfId="0" applyNumberFormat="1" applyFont="1" applyFill="1" applyBorder="1"/>
    <x:xf numFmtId="0" fontId="16" fillId="14" borderId="1" xfId="0" applyNumberFormat="1" applyFont="1" applyFill="1" applyBorder="1"/>
    <x:xf numFmtId="0" fontId="16" fillId="14" borderId="5" xfId="0" applyNumberFormat="1" applyFont="1" applyFill="1" applyBorder="1"/>
    <x:xf numFmtId="0" fontId="16" fillId="14" borderId="6" xfId="0" applyNumberFormat="1" applyFont="1" applyFill="1" applyBorder="1"/>
    <x:xf numFmtId="0" fontId="16" fillId="14" borderId="7" xfId="0" applyNumberFormat="1" applyFont="1" applyFill="1" applyBorder="1"/>
    <x:xf numFmtId="0" fontId="16" fillId="14" borderId="5" xfId="0" applyNumberFormat="1" applyFont="1" applyFill="1" applyBorder="1" applyAlignment="1">
      <x:alignment horizontal="left"/>
    </x:xf>
    <x:xf numFmtId="0" fontId="16" fillId="14" borderId="6" xfId="0" applyNumberFormat="1" applyFont="1" applyFill="1" applyBorder="1" applyAlignment="1">
      <x:alignment horizontal="left"/>
    </x:xf>
    <x:xf numFmtId="0" fontId="16" fillId="14" borderId="7" xfId="0" applyNumberFormat="1" applyFont="1" applyFill="1" applyBorder="1" applyAlignment="1">
      <x:alignment horizontal="left"/>
    </x:xf>
    <x:xf numFmtId="0" fontId="16" fillId="14" borderId="5" xfId="0" applyNumberFormat="1" applyFont="1" applyFill="1" applyBorder="1" applyAlignment="1">
      <x:alignment horizontal="left" vertical="center"/>
    </x:xf>
    <x:xf numFmtId="0" fontId="16" fillId="14" borderId="6" xfId="0" applyNumberFormat="1" applyFont="1" applyFill="1" applyBorder="1" applyAlignment="1">
      <x:alignment horizontal="left" vertical="center"/>
    </x:xf>
    <x:xf numFmtId="0" fontId="16" fillId="14" borderId="7" xfId="0" applyNumberFormat="1" applyFont="1" applyFill="1" applyBorder="1" applyAlignment="1">
      <x:alignment horizontal="left" vertical="center"/>
    </x:xf>
    <x:xf numFmtId="0" fontId="1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8" xfId="0" applyNumberFormat="1" applyFont="1" applyFill="1" applyBorder="1"/>
    <x:xf numFmtId="0" fontId="17" fillId="15" borderId="8" xfId="0" applyNumberFormat="1" applyFont="1" applyFill="1" applyBorder="1" applyAlignment="1">
      <x:alignment wrapText="1"/>
    </x:xf>
    <x:xf numFmtId="0" fontId="17" fillId="15" borderId="8" xfId="0" applyNumberFormat="1" applyFont="1" applyFill="1" applyBorder="1" applyAlignment="1">
      <x:alignment horizontal="center" wrapText="1"/>
    </x:xf>
    <x:xf numFmtId="0" fontId="17" fillId="15" borderId="8" xfId="0" applyNumberFormat="1" applyFont="1" applyFill="1" applyBorder="1" applyAlignment="1">
      <x:alignment horizontal="center" vertical="center" wrapText="1"/>
    </x:xf>
    <x:xf numFmtId="0" fontId="1" fillId="15" borderId="1" xfId="0" applyNumberFormat="1" applyFont="1" applyFill="1" applyBorder="1"/>
    <x:xf numFmtId="0" fontId="17" fillId="15" borderId="1" xfId="0" applyNumberFormat="1" applyFont="1" applyFill="1" applyBorder="1"/>
    <x:xf numFmtId="0" fontId="17" fillId="15" borderId="9" xfId="0" applyNumberFormat="1" applyFont="1" applyFill="1" applyBorder="1"/>
    <x:xf numFmtId="0" fontId="17" fillId="15" borderId="9" xfId="0" applyNumberFormat="1" applyFont="1" applyFill="1" applyBorder="1" applyAlignment="1">
      <x:alignment wrapText="1"/>
    </x:xf>
    <x:xf numFmtId="0" fontId="17" fillId="15" borderId="9" xfId="0" applyNumberFormat="1" applyFont="1" applyFill="1" applyBorder="1" applyAlignment="1">
      <x:alignment horizontal="center" wrapText="1"/>
    </x:xf>
    <x:xf numFmtId="0" fontId="17" fillId="15" borderId="9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/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wrapText="1"/>
    </x:xf>
    <x:xf numFmtId="0" fontId="18" fillId="16" borderId="0" xfId="0" applyNumberFormat="1" applyFont="1" applyFill="1" applyBorder="1" applyAlignment="1">
      <x:alignment vertical="center" wrapText="1"/>
    </x:xf>
    <x:xf numFmtId="0" fontId="1" fillId="16" borderId="1" xfId="0" applyNumberFormat="1" applyFont="1" applyFill="1" applyBorder="1"/>
    <x:xf numFmtId="0" fontId="18" fillId="16" borderId="1" xfId="0" applyNumberFormat="1" applyFont="1" applyFill="1" applyBorder="1"/>
    <x:xf numFmtId="0" fontId="18" fillId="16" borderId="1" xfId="0" applyNumberFormat="1" applyFont="1" applyFill="1" applyBorder="1" applyAlignment="1">
      <x:alignment wrapText="1"/>
    </x:xf>
    <x:xf numFmtId="0" fontId="18" fillId="16" borderId="1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/>
    <x:xf numFmtId="0" fontId="10" fillId="7" borderId="8" xfId="0" applyNumberFormat="1" applyFont="1" applyFill="1" applyBorder="1"/>
    <x:xf numFmtId="0" fontId="10" fillId="7" borderId="8" xfId="0" applyNumberFormat="1" applyFont="1" applyFill="1" applyBorder="1" applyAlignment="1">
      <x:alignment wrapText="1"/>
    </x:xf>
    <x:xf numFmtId="0" fontId="10" fillId="7" borderId="8" xfId="0" applyNumberFormat="1" applyFont="1" applyFill="1" applyBorder="1" applyAlignment="1">
      <x:alignment horizontal="center" wrapText="1"/>
    </x:xf>
    <x:xf numFmtId="0" fontId="10" fillId="7" borderId="8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/>
    <x:xf numFmtId="0" fontId="10" fillId="7" borderId="9" xfId="0" applyNumberFormat="1" applyFont="1" applyFill="1" applyBorder="1"/>
    <x:xf numFmtId="0" fontId="10" fillId="7" borderId="9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horizontal="center" wrapText="1"/>
    </x:xf>
    <x:xf numFmtId="0" fontId="10" fillId="7" borderId="9" xfId="0" applyNumberFormat="1" applyFont="1" applyFill="1" applyBorder="1" applyAlignment="1">
      <x:alignment horizontal="center" vertical="center" wrapText="1"/>
    </x:xf>
    <x:xf numFmtId="0" fontId="1" fillId="17" borderId="10" xfId="0" applyNumberFormat="1" applyFont="1" applyFill="1" applyBorder="1" applyAlignment="1">
      <x:alignment vertical="center"/>
    </x:xf>
    <x:xf numFmtId="0" fontId="19" fillId="17" borderId="10" xfId="0" applyNumberFormat="1" applyFont="1" applyFill="1" applyBorder="1" applyAlignment="1">
      <x:alignment vertical="center"/>
    </x:xf>
    <x:xf numFmtId="0" fontId="19" fillId="17" borderId="28" xfId="0" applyNumberFormat="1" applyFont="1" applyFill="1" applyBorder="1" applyAlignment="1">
      <x:alignment vertical="center"/>
    </x:xf>
    <x:xf numFmtId="0" fontId="19" fillId="17" borderId="29" xfId="0" applyNumberFormat="1" applyFont="1" applyFill="1" applyBorder="1" applyAlignment="1">
      <x:alignment vertical="center"/>
    </x:xf>
    <x:xf numFmtId="0" fontId="19" fillId="17" borderId="30" xfId="0" applyNumberFormat="1" applyFont="1" applyFill="1" applyBorder="1" applyAlignment="1">
      <x:alignment vertical="center"/>
    </x:xf>
    <x:xf numFmtId="0" fontId="19" fillId="17" borderId="28" xfId="0" applyNumberFormat="1" applyFont="1" applyFill="1" applyBorder="1" applyAlignment="1">
      <x:alignment vertical="center" wrapText="1"/>
    </x:xf>
    <x:xf numFmtId="0" fontId="19" fillId="17" borderId="29" xfId="0" applyNumberFormat="1" applyFont="1" applyFill="1" applyBorder="1" applyAlignment="1">
      <x:alignment vertical="center" wrapText="1"/>
    </x:xf>
    <x:xf numFmtId="0" fontId="19" fillId="17" borderId="30" xfId="0" applyNumberFormat="1" applyFont="1" applyFill="1" applyBorder="1" applyAlignment="1">
      <x:alignment vertical="center" wrapText="1"/>
    </x:xf>
    <x:xf numFmtId="0" fontId="19" fillId="17" borderId="28" xfId="0" applyNumberFormat="1" applyFont="1" applyFill="1" applyBorder="1" applyAlignment="1">
      <x:alignment horizontal="center" vertical="center" wrapText="1"/>
    </x:xf>
    <x:xf numFmtId="0" fontId="19" fillId="17" borderId="29" xfId="0" applyNumberFormat="1" applyFont="1" applyFill="1" applyBorder="1" applyAlignment="1">
      <x:alignment horizontal="center" vertical="center" wrapText="1"/>
    </x:xf>
    <x:xf numFmtId="0" fontId="19" fillId="17" borderId="30" xfId="0" applyNumberFormat="1" applyFont="1" applyFill="1" applyBorder="1" applyAlignment="1">
      <x:alignment horizontal="center" vertical="center" wrapText="1"/>
    </x:xf>
    <x:xf numFmtId="0" fontId="1" fillId="17" borderId="11" xfId="0" applyNumberFormat="1" applyFont="1" applyFill="1" applyBorder="1" applyAlignment="1">
      <x:alignment vertical="center"/>
    </x:xf>
    <x:xf numFmtId="0" fontId="19" fillId="17" borderId="11" xfId="0" applyNumberFormat="1" applyFont="1" applyFill="1" applyBorder="1" applyAlignment="1">
      <x:alignment vertical="center"/>
    </x:xf>
    <x:xf numFmtId="0" fontId="19" fillId="17" borderId="31" xfId="0" applyNumberFormat="1" applyFont="1" applyFill="1" applyBorder="1" applyAlignment="1">
      <x:alignment vertical="center"/>
    </x:xf>
    <x:xf numFmtId="0" fontId="19" fillId="17" borderId="32" xfId="0" applyNumberFormat="1" applyFont="1" applyFill="1" applyBorder="1" applyAlignment="1">
      <x:alignment vertical="center"/>
    </x:xf>
    <x:xf numFmtId="0" fontId="19" fillId="17" borderId="33" xfId="0" applyNumberFormat="1" applyFont="1" applyFill="1" applyBorder="1" applyAlignment="1">
      <x:alignment vertical="center"/>
    </x:xf>
    <x:xf numFmtId="0" fontId="19" fillId="17" borderId="31" xfId="0" applyNumberFormat="1" applyFont="1" applyFill="1" applyBorder="1" applyAlignment="1">
      <x:alignment vertical="center" wrapText="1"/>
    </x:xf>
    <x:xf numFmtId="0" fontId="19" fillId="17" borderId="32" xfId="0" applyNumberFormat="1" applyFont="1" applyFill="1" applyBorder="1" applyAlignment="1">
      <x:alignment vertical="center" wrapText="1"/>
    </x:xf>
    <x:xf numFmtId="0" fontId="19" fillId="17" borderId="33" xfId="0" applyNumberFormat="1" applyFont="1" applyFill="1" applyBorder="1" applyAlignment="1">
      <x:alignment vertical="center" wrapText="1"/>
    </x:xf>
    <x:xf numFmtId="0" fontId="19" fillId="17" borderId="31" xfId="0" applyNumberFormat="1" applyFont="1" applyFill="1" applyBorder="1" applyAlignment="1">
      <x:alignment horizontal="center" vertical="center" wrapText="1"/>
    </x:xf>
    <x:xf numFmtId="0" fontId="19" fillId="17" borderId="32" xfId="0" applyNumberFormat="1" applyFont="1" applyFill="1" applyBorder="1" applyAlignment="1">
      <x:alignment horizontal="center" vertical="center" wrapText="1"/>
    </x:xf>
    <x:xf numFmtId="0" fontId="19" fillId="17" borderId="33" xfId="0" applyNumberFormat="1" applyFont="1" applyFill="1" applyBorder="1" applyAlignment="1">
      <x:alignment horizontal="center" vertical="center" wrapText="1"/>
    </x:xf>
    <x:xf numFmtId="205" fontId="1" fillId="0" borderId="10" xfId="0" applyNumberFormat="1" applyFont="1" applyFill="1" applyBorder="1" applyAlignment="1">
      <x:alignment vertical="center"/>
    </x:xf>
    <x:xf numFmtId="205" fontId="1" fillId="0" borderId="11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6" fontId="1" fillId="0" borderId="11" xfId="0" applyNumberFormat="1" applyFont="1" applyFill="1" applyBorder="1" applyAlignment="1">
      <x:alignment vertical="center"/>
    </x:xf>
    <x:xf numFmtId="0" fontId="1" fillId="7" borderId="12" xfId="0" applyNumberFormat="1" applyFont="1" applyFill="1" applyBorder="1"/>
    <x:xf numFmtId="0" fontId="1" fillId="7" borderId="13" xfId="0" applyNumberFormat="1" applyFont="1" applyFill="1" applyBorder="1"/>
    <x:xf numFmtId="0" fontId="1" fillId="7" borderId="14" xfId="0" applyNumberFormat="1" applyFont="1" applyFill="1" applyBorder="1"/>
    <x:xf numFmtId="0" fontId="1" fillId="7" borderId="15" xfId="0" applyNumberFormat="1" applyFont="1" applyFill="1" applyBorder="1"/>
    <x:xf numFmtId="0" fontId="1" fillId="7" borderId="16" xfId="0" applyNumberFormat="1" applyFont="1" applyFill="1" applyBorder="1"/>
    <x:xf numFmtId="0" fontId="1" fillId="7" borderId="17" xfId="0" applyNumberFormat="1" applyFont="1" applyFill="1" applyBorder="1"/>
    <x:xf numFmtId="0" fontId="1" fillId="7" borderId="18" xfId="0" applyNumberFormat="1" applyFont="1" applyFill="1" applyBorder="1"/>
    <x:xf numFmtId="0" fontId="1" fillId="7" borderId="19" xfId="0" applyNumberFormat="1" applyFont="1" applyFill="1" applyBorder="1"/>
    <x:xf numFmtId="0" fontId="1" fillId="7" borderId="20" xfId="0" applyNumberFormat="1" applyFont="1" applyFill="1" applyBorder="1"/>
    <x:xf numFmtId="0" fontId="1" fillId="7" borderId="21" xfId="0" applyNumberFormat="1" applyFont="1" applyFill="1" applyBorder="1"/>
    <x:xf numFmtId="0" fontId="1" fillId="7" borderId="22" xfId="0" applyNumberFormat="1" applyFont="1" applyFill="1" applyBorder="1"/>
    <x:xf numFmtId="0" fontId="1" fillId="7" borderId="23" xfId="0" applyNumberFormat="1" applyFont="1" applyFill="1" applyBorder="1"/>
    <x:xf numFmtId="0" fontId="1" fillId="7" borderId="24" xfId="0" applyNumberFormat="1" applyFont="1" applyFill="1" applyBorder="1"/>
    <x:xf numFmtId="0" fontId="1" fillId="7" borderId="25" xfId="0" applyNumberFormat="1" applyFont="1" applyFill="1" applyBorder="1"/>
    <x:xf numFmtId="0" fontId="1" fillId="7" borderId="26" xfId="0" applyNumberFormat="1" applyFont="1" applyFill="1" applyBorder="1"/>
    <x:xf numFmtId="0" fontId="1" fillId="7" borderId="27" xfId="0" applyNumberFormat="1" applyFont="1" applyFill="1" applyBorder="1"/>
    <x:xf numFmtId="0" fontId="20" fillId="7" borderId="12" xfId="0" applyNumberFormat="1" applyFont="1" applyFill="1" applyBorder="1"/>
    <x:xf numFmtId="0" fontId="20" fillId="7" borderId="20" xfId="0" applyNumberFormat="1" applyFont="1" applyFill="1" applyBorder="1"/>
    <x:xf numFmtId="0" fontId="21" fillId="7" borderId="15" xfId="0" applyNumberFormat="1" applyFont="1" applyFill="1" applyBorder="1"/>
    <x:xf numFmtId="0" fontId="21" fillId="7" borderId="23" xfId="0" applyNumberFormat="1" applyFont="1" applyFill="1" applyBorder="1"/>
    <x:xf numFmtId="202" fontId="21" fillId="7" borderId="15" xfId="0" applyNumberFormat="1" applyFont="1" applyFill="1" applyBorder="1"/>
    <x:xf numFmtId="202" fontId="21" fillId="7" borderId="23" xfId="0" applyNumberFormat="1" applyFont="1" applyFill="1" applyBorder="1"/>
    <x:xf numFmtId="200" fontId="21" fillId="7" borderId="15" xfId="0" applyNumberFormat="1" applyFont="1" applyFill="1" applyBorder="1"/>
    <x:xf numFmtId="200" fontId="21" fillId="7" borderId="23" xfId="0" applyNumberFormat="1" applyFont="1" applyFill="1" applyBorder="1"/>
    <x:xf numFmtId="0" fontId="22" fillId="5" borderId="0" xfId="0" applyNumberFormat="1" applyFont="1" applyFill="1" applyBorder="1"/>
    <x:xf numFmtId="0" fontId="22" fillId="5" borderId="34" xfId="0" applyNumberFormat="1" applyFont="1" applyFill="1" applyBorder="1"/>
    <x:xf numFmtId="0" fontId="22" fillId="5" borderId="35" xfId="0" applyNumberFormat="1" applyFont="1" applyFill="1" applyBorder="1"/>
    <x:xf numFmtId="0" fontId="22" fillId="5" borderId="36" xfId="0" applyNumberFormat="1" applyFont="1" applyFill="1" applyBorder="1"/>
    <x:xf numFmtId="0" fontId="22" fillId="5" borderId="37" xfId="0" applyNumberFormat="1" applyFont="1" applyFill="1" applyBorder="1"/>
    <x:xf numFmtId="0" fontId="22" fillId="5" borderId="38" xfId="0" applyNumberFormat="1" applyFont="1" applyFill="1" applyBorder="1"/>
    <x:xf numFmtId="0" fontId="22" fillId="5" borderId="39" xfId="0" applyNumberFormat="1" applyFont="1" applyFill="1" applyBorder="1"/>
    <x:xf numFmtId="0" fontId="22" fillId="5" borderId="40" xfId="0" applyNumberFormat="1" applyFont="1" applyFill="1" applyBorder="1"/>
    <x:xf numFmtId="0" fontId="22" fillId="5" borderId="41" xfId="0" applyNumberFormat="1" applyFont="1" applyFill="1" applyBorder="1"/>
    <x:xf numFmtId="0" fontId="22" fillId="5" borderId="34" xfId="0" applyNumberFormat="1" applyFont="1" applyFill="1" applyBorder="1" applyAlignment="1">
      <x:alignment wrapText="1"/>
    </x:xf>
    <x:xf numFmtId="0" fontId="22" fillId="5" borderId="35" xfId="0" applyNumberFormat="1" applyFont="1" applyFill="1" applyBorder="1" applyAlignment="1">
      <x:alignment wrapText="1"/>
    </x:xf>
    <x:xf numFmtId="0" fontId="22" fillId="5" borderId="36" xfId="0" applyNumberFormat="1" applyFont="1" applyFill="1" applyBorder="1" applyAlignment="1">
      <x:alignment wrapText="1"/>
    </x:xf>
    <x:xf numFmtId="0" fontId="22" fillId="5" borderId="37" xfId="0" applyNumberFormat="1" applyFont="1" applyFill="1" applyBorder="1" applyAlignment="1">
      <x:alignment wrapText="1"/>
    </x:xf>
    <x:xf numFmtId="0" fontId="22" fillId="5" borderId="0" xfId="0" applyNumberFormat="1" applyFont="1" applyFill="1" applyBorder="1" applyAlignment="1">
      <x:alignment wrapText="1"/>
    </x:xf>
    <x:xf numFmtId="0" fontId="22" fillId="5" borderId="38" xfId="0" applyNumberFormat="1" applyFont="1" applyFill="1" applyBorder="1" applyAlignment="1">
      <x:alignment wrapText="1"/>
    </x:xf>
    <x:xf numFmtId="0" fontId="22" fillId="5" borderId="39" xfId="0" applyNumberFormat="1" applyFont="1" applyFill="1" applyBorder="1" applyAlignment="1">
      <x:alignment wrapText="1"/>
    </x:xf>
    <x:xf numFmtId="0" fontId="22" fillId="5" borderId="40" xfId="0" applyNumberFormat="1" applyFont="1" applyFill="1" applyBorder="1" applyAlignment="1">
      <x:alignment wrapText="1"/>
    </x:xf>
    <x:xf numFmtId="0" fontId="22" fillId="5" borderId="41" xfId="0" applyNumberFormat="1" applyFont="1" applyFill="1" applyBorder="1" applyAlignment="1">
      <x:alignment wrapText="1"/>
    </x:xf>
    <x:xf numFmtId="0" fontId="22" fillId="5" borderId="34" xfId="0" applyNumberFormat="1" applyFont="1" applyFill="1" applyBorder="1" applyAlignment="1">
      <x:alignment vertical="top" wrapText="1"/>
    </x:xf>
    <x:xf numFmtId="0" fontId="22" fillId="5" borderId="35" xfId="0" applyNumberFormat="1" applyFont="1" applyFill="1" applyBorder="1" applyAlignment="1">
      <x:alignment vertical="top" wrapText="1"/>
    </x:xf>
    <x:xf numFmtId="0" fontId="22" fillId="5" borderId="36" xfId="0" applyNumberFormat="1" applyFont="1" applyFill="1" applyBorder="1" applyAlignment="1">
      <x:alignment vertical="top" wrapText="1"/>
    </x:xf>
    <x:xf numFmtId="0" fontId="22" fillId="5" borderId="37" xfId="0" applyNumberFormat="1" applyFont="1" applyFill="1" applyBorder="1" applyAlignment="1">
      <x:alignment vertical="top" wrapText="1"/>
    </x:xf>
    <x:xf numFmtId="0" fontId="22" fillId="5" borderId="0" xfId="0" applyNumberFormat="1" applyFont="1" applyFill="1" applyBorder="1" applyAlignment="1">
      <x:alignment vertical="top" wrapText="1"/>
    </x:xf>
    <x:xf numFmtId="0" fontId="22" fillId="5" borderId="38" xfId="0" applyNumberFormat="1" applyFont="1" applyFill="1" applyBorder="1" applyAlignment="1">
      <x:alignment vertical="top" wrapText="1"/>
    </x:xf>
    <x:xf numFmtId="0" fontId="22" fillId="5" borderId="39" xfId="0" applyNumberFormat="1" applyFont="1" applyFill="1" applyBorder="1" applyAlignment="1">
      <x:alignment vertical="top" wrapText="1"/>
    </x:xf>
    <x:xf numFmtId="0" fontId="22" fillId="5" borderId="40" xfId="0" applyNumberFormat="1" applyFont="1" applyFill="1" applyBorder="1" applyAlignment="1">
      <x:alignment vertical="top" wrapText="1"/>
    </x:xf>
    <x:xf numFmtId="0" fontId="22" fillId="5" borderId="41" xfId="0" applyNumberFormat="1" applyFont="1" applyFill="1" applyBorder="1" applyAlignment="1">
      <x:alignment vertical="top" wrapText="1"/>
    </x:xf>
    <x:xf numFmtId="0" fontId="22" fillId="5" borderId="1" xfId="0" applyNumberFormat="1" applyFont="1" applyFill="1" applyBorder="1"/>
    <x:xf numFmtId="0" fontId="22" fillId="5" borderId="42" xfId="0" applyNumberFormat="1" applyFont="1" applyFill="1" applyBorder="1"/>
    <x:xf numFmtId="0" fontId="22" fillId="5" borderId="43" xfId="0" applyNumberFormat="1" applyFont="1" applyFill="1" applyBorder="1"/>
    <x:xf numFmtId="0" fontId="22" fillId="5" borderId="44" xfId="0" applyNumberFormat="1" applyFont="1" applyFill="1" applyBorder="1"/>
    <x:xf numFmtId="0" fontId="22" fillId="5" borderId="45" xfId="0" applyNumberFormat="1" applyFont="1" applyFill="1" applyBorder="1"/>
    <x:xf numFmtId="0" fontId="22" fillId="5" borderId="46" xfId="0" applyNumberFormat="1" applyFont="1" applyFill="1" applyBorder="1"/>
    <x:xf numFmtId="0" fontId="22" fillId="5" borderId="47" xfId="0" applyNumberFormat="1" applyFont="1" applyFill="1" applyBorder="1"/>
    <x:xf numFmtId="0" fontId="22" fillId="5" borderId="48" xfId="0" applyNumberFormat="1" applyFont="1" applyFill="1" applyBorder="1"/>
    <x:xf numFmtId="0" fontId="22" fillId="5" borderId="49" xfId="0" applyNumberFormat="1" applyFont="1" applyFill="1" applyBorder="1"/>
    <x:xf numFmtId="0" fontId="22" fillId="5" borderId="42" xfId="0" applyNumberFormat="1" applyFont="1" applyFill="1" applyBorder="1" applyAlignment="1">
      <x:alignment wrapText="1"/>
    </x:xf>
    <x:xf numFmtId="0" fontId="22" fillId="5" borderId="43" xfId="0" applyNumberFormat="1" applyFont="1" applyFill="1" applyBorder="1" applyAlignment="1">
      <x:alignment wrapText="1"/>
    </x:xf>
    <x:xf numFmtId="0" fontId="22" fillId="5" borderId="44" xfId="0" applyNumberFormat="1" applyFont="1" applyFill="1" applyBorder="1" applyAlignment="1">
      <x:alignment wrapText="1"/>
    </x:xf>
    <x:xf numFmtId="0" fontId="22" fillId="5" borderId="45" xfId="0" applyNumberFormat="1" applyFont="1" applyFill="1" applyBorder="1" applyAlignment="1">
      <x:alignment wrapText="1"/>
    </x:xf>
    <x:xf numFmtId="0" fontId="22" fillId="5" borderId="1" xfId="0" applyNumberFormat="1" applyFont="1" applyFill="1" applyBorder="1" applyAlignment="1">
      <x:alignment wrapText="1"/>
    </x:xf>
    <x:xf numFmtId="0" fontId="22" fillId="5" borderId="46" xfId="0" applyNumberFormat="1" applyFont="1" applyFill="1" applyBorder="1" applyAlignment="1">
      <x:alignment wrapText="1"/>
    </x:xf>
    <x:xf numFmtId="0" fontId="22" fillId="5" borderId="47" xfId="0" applyNumberFormat="1" applyFont="1" applyFill="1" applyBorder="1" applyAlignment="1">
      <x:alignment wrapText="1"/>
    </x:xf>
    <x:xf numFmtId="0" fontId="22" fillId="5" borderId="48" xfId="0" applyNumberFormat="1" applyFont="1" applyFill="1" applyBorder="1" applyAlignment="1">
      <x:alignment wrapText="1"/>
    </x:xf>
    <x:xf numFmtId="0" fontId="22" fillId="5" borderId="49" xfId="0" applyNumberFormat="1" applyFont="1" applyFill="1" applyBorder="1" applyAlignment="1">
      <x:alignment wrapText="1"/>
    </x:xf>
    <x:xf numFmtId="0" fontId="22" fillId="5" borderId="42" xfId="0" applyNumberFormat="1" applyFont="1" applyFill="1" applyBorder="1" applyAlignment="1">
      <x:alignment vertical="top" wrapText="1"/>
    </x:xf>
    <x:xf numFmtId="0" fontId="22" fillId="5" borderId="43" xfId="0" applyNumberFormat="1" applyFont="1" applyFill="1" applyBorder="1" applyAlignment="1">
      <x:alignment vertical="top" wrapText="1"/>
    </x:xf>
    <x:xf numFmtId="0" fontId="22" fillId="5" borderId="44" xfId="0" applyNumberFormat="1" applyFont="1" applyFill="1" applyBorder="1" applyAlignment="1">
      <x:alignment vertical="top" wrapText="1"/>
    </x:xf>
    <x:xf numFmtId="0" fontId="22" fillId="5" borderId="45" xfId="0" applyNumberFormat="1" applyFont="1" applyFill="1" applyBorder="1" applyAlignment="1">
      <x:alignment vertical="top" wrapText="1"/>
    </x:xf>
    <x:xf numFmtId="0" fontId="22" fillId="5" borderId="1" xfId="0" applyNumberFormat="1" applyFont="1" applyFill="1" applyBorder="1" applyAlignment="1">
      <x:alignment vertical="top" wrapText="1"/>
    </x:xf>
    <x:xf numFmtId="0" fontId="22" fillId="5" borderId="46" xfId="0" applyNumberFormat="1" applyFont="1" applyFill="1" applyBorder="1" applyAlignment="1">
      <x:alignment vertical="top" wrapText="1"/>
    </x:xf>
    <x:xf numFmtId="0" fontId="22" fillId="5" borderId="47" xfId="0" applyNumberFormat="1" applyFont="1" applyFill="1" applyBorder="1" applyAlignment="1">
      <x:alignment vertical="top" wrapText="1"/>
    </x:xf>
    <x:xf numFmtId="0" fontId="22" fillId="5" borderId="48" xfId="0" applyNumberFormat="1" applyFont="1" applyFill="1" applyBorder="1" applyAlignment="1">
      <x:alignment vertical="top" wrapText="1"/>
    </x:xf>
    <x:xf numFmtId="0" fontId="22" fillId="5" borderId="49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/>
    <x:xf numFmtId="0" fontId="23" fillId="18" borderId="0" xfId="0" applyNumberFormat="1" applyFont="1" applyFill="1" applyBorder="1"/>
    <x:xf numFmtId="0" fontId="23" fillId="18" borderId="8" xfId="0" applyNumberFormat="1" applyFont="1" applyFill="1" applyBorder="1"/>
    <x:xf numFmtId="0" fontId="23" fillId="18" borderId="8" xfId="0" applyNumberFormat="1" applyFont="1" applyFill="1" applyBorder="1" applyAlignment="1">
      <x:alignment wrapText="1"/>
    </x:xf>
    <x:xf numFmtId="0" fontId="23" fillId="18" borderId="8" xfId="0" applyNumberFormat="1" applyFont="1" applyFill="1" applyBorder="1" applyAlignment="1">
      <x:alignment horizontal="center" wrapText="1"/>
    </x:xf>
    <x:xf numFmtId="0" fontId="23" fillId="18" borderId="8" xfId="0" applyNumberFormat="1" applyFont="1" applyFill="1" applyBorder="1" applyAlignment="1">
      <x:alignment horizontal="center" vertical="center" wrapText="1"/>
    </x:xf>
    <x:xf numFmtId="0" fontId="1" fillId="18" borderId="1" xfId="0" applyNumberFormat="1" applyFont="1" applyFill="1" applyBorder="1"/>
    <x:xf numFmtId="0" fontId="23" fillId="18" borderId="1" xfId="0" applyNumberFormat="1" applyFont="1" applyFill="1" applyBorder="1"/>
    <x:xf numFmtId="0" fontId="23" fillId="18" borderId="9" xfId="0" applyNumberFormat="1" applyFont="1" applyFill="1" applyBorder="1"/>
    <x:xf numFmtId="0" fontId="23" fillId="18" borderId="9" xfId="0" applyNumberFormat="1" applyFont="1" applyFill="1" applyBorder="1" applyAlignment="1">
      <x:alignment wrapText="1"/>
    </x:xf>
    <x:xf numFmtId="0" fontId="23" fillId="18" borderId="9" xfId="0" applyNumberFormat="1" applyFont="1" applyFill="1" applyBorder="1" applyAlignment="1">
      <x:alignment horizontal="center" wrapText="1"/>
    </x:xf>
    <x:xf numFmtId="0" fontId="23" fillId="18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BE123C"/>
      </x:font>
      <x:fill>
        <x:patternFill patternType="solid">
          <x:bgColor rgb="FFF1F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22fa6e9f64f50" /><Relationship Type="http://schemas.openxmlformats.org/officeDocument/2006/relationships/theme" Target="/xl/theme/theme1.xml" Id="R9ed6041e7a41484b" /><Relationship Type="http://schemas.openxmlformats.org/officeDocument/2006/relationships/sharedStrings" Target="/xl/sharedStrings.xml" Id="Ra6c0dd26b14a4820" /><Relationship Type="http://schemas.openxmlformats.org/officeDocument/2006/relationships/worksheet" Target="/xl/worksheets/sheet1.xml" Id="R272962009ea54bc8" /><Relationship Type="http://schemas.openxmlformats.org/officeDocument/2006/relationships/worksheet" Target="/xl/worksheets/sheet2.xml" Id="R5f2d0bcb7efc4d93" /><Relationship Type="http://schemas.openxmlformats.org/officeDocument/2006/relationships/worksheet" Target="/xl/worksheets/sheet3.xml" Id="R6d44ad3f012a4b65" /><Relationship Type="http://schemas.openxmlformats.org/officeDocument/2006/relationships/worksheet" Target="/xl/worksheets/sheet4.xml" Id="R45cd9c09b3c0471b" /><Relationship Type="http://schemas.openxmlformats.org/officeDocument/2006/relationships/worksheet" Target="/xl/worksheets/sheet5.xml" Id="R893df33e732d46e3" /><Relationship Type="http://schemas.openxmlformats.org/officeDocument/2006/relationships/worksheet" Target="/xl/worksheets/sheet6.xml" Id="R37ad883e79114deb" /><Relationship Type="http://schemas.openxmlformats.org/officeDocument/2006/relationships/worksheet" Target="/xl/worksheets/sheet7.xml" Id="R938d4153b1444c36" /><Relationship Type="http://schemas.openxmlformats.org/officeDocument/2006/relationships/worksheet" Target="/xl/worksheets/sheet8.xml" Id="R5428682d50a04c57" /><Relationship Type="http://schemas.openxmlformats.org/officeDocument/2006/relationships/worksheet" Target="/xl/worksheets/sheet9.xml" Id="Reba1310f55014a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2ef393cab440af" /><Relationship Type="http://schemas.openxmlformats.org/officeDocument/2006/relationships/chart" Target="/xl/drawings/charts/chart2.xml" Id="Rec1380f8651d47f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7a31703367f45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Tasks by Status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Lit>
              <c:ptCount val="6"/>
              <c:pt idx="0">
                <c:v>Backlog</c:v>
              </c:pt>
              <c:pt idx="1">
                <c:v>Todo</c:v>
              </c:pt>
              <c:pt idx="2">
                <c:v>Dev</c:v>
              </c:pt>
              <c:pt idx="3">
                <c:v>Review</c:v>
              </c:pt>
              <c:pt idx="4">
                <c:v>Done</c:v>
              </c:pt>
              <c:pt idx="5">
                <c:v>Blocked</c:v>
              </c:pt>
            </c:strLit>
          </c:cat>
          <c:val>
            <c:numLit>
              <c:formatCode/>
              <c:ptCount val="6"/>
              <c:pt idx="0">
                <c:v>7</c:v>
              </c:pt>
              <c:pt idx="1">
                <c:v>6</c:v>
              </c:pt>
              <c:pt idx="2">
                <c:v>6</c:v>
              </c:pt>
              <c:pt idx="3">
                <c:v>8</c:v>
              </c:pt>
              <c:pt idx="4">
                <c:v>7</c:v>
              </c:pt>
              <c:pt idx="5">
                <c:v>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Fitness Score vs Coverage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Fitness Score</c:v>
          </c:tx>
          <c:marker/>
          <c:cat>
            <c:strLit>
              <c:ptCount val="18"/>
              <c:pt idx="0">
                <c:v>Jan 25</c:v>
              </c:pt>
              <c:pt idx="1">
                <c:v>Feb 25</c:v>
              </c:pt>
              <c:pt idx="2">
                <c:v>Mar 25</c:v>
              </c:pt>
              <c:pt idx="3">
                <c:v>Apr 25</c:v>
              </c:pt>
              <c:pt idx="4">
                <c:v>May 25</c:v>
              </c:pt>
              <c:pt idx="5">
                <c:v>Jun 25</c:v>
              </c:pt>
              <c:pt idx="6">
                <c:v>Jul 25</c:v>
              </c:pt>
              <c:pt idx="7">
                <c:v>Aug 25</c:v>
              </c:pt>
              <c:pt idx="8">
                <c:v>Sep 25</c:v>
              </c:pt>
              <c:pt idx="9">
                <c:v>Oct 25</c:v>
              </c:pt>
              <c:pt idx="10">
                <c:v>Nov 25</c:v>
              </c:pt>
              <c:pt idx="11">
                <c:v>Dec 25</c:v>
              </c:pt>
              <c:pt idx="12">
                <c:v>Jan 26</c:v>
              </c:pt>
              <c:pt idx="13">
                <c:v>Feb 26</c:v>
              </c:pt>
              <c:pt idx="14">
                <c:v>Mar 26</c:v>
              </c:pt>
              <c:pt idx="15">
                <c:v>Apr 26</c:v>
              </c:pt>
              <c:pt idx="16">
                <c:v>May 26</c:v>
              </c:pt>
              <c:pt idx="17">
                <c:v>Jun 26</c:v>
              </c:pt>
            </c:strLit>
          </c:cat>
          <c:val>
            <c:numLit>
              <c:formatCode/>
              <c:ptCount val="18"/>
              <c:pt idx="0">
                <c:v>62.6</c:v>
              </c:pt>
              <c:pt idx="1">
                <c:v>63.550000000000004</c:v>
              </c:pt>
              <c:pt idx="2">
                <c:v>64.5</c:v>
              </c:pt>
              <c:pt idx="3">
                <c:v>65.9</c:v>
              </c:pt>
              <c:pt idx="4">
                <c:v>66.85</c:v>
              </c:pt>
              <c:pt idx="5">
                <c:v>70.5</c:v>
              </c:pt>
              <c:pt idx="6">
                <c:v>71.45</c:v>
              </c:pt>
              <c:pt idx="7">
                <c:v>72.85</c:v>
              </c:pt>
              <c:pt idx="8">
                <c:v>73.8</c:v>
              </c:pt>
              <c:pt idx="9">
                <c:v>75.19999999999999</c:v>
              </c:pt>
              <c:pt idx="10">
                <c:v>78.4</c:v>
              </c:pt>
              <c:pt idx="11">
                <c:v>79.35000000000001</c:v>
              </c:pt>
              <c:pt idx="12">
                <c:v>80.75</c:v>
              </c:pt>
              <c:pt idx="13">
                <c:v>81.7</c:v>
              </c:pt>
              <c:pt idx="14">
                <c:v>83.1</c:v>
              </c:pt>
              <c:pt idx="15">
                <c:v>86.3</c:v>
              </c:pt>
              <c:pt idx="16">
                <c:v>87.7</c:v>
              </c:pt>
              <c:pt idx="17">
                <c:v>88.64999999999999</c:v>
              </c:pt>
            </c:numLit>
          </c:val>
          <c:smooth val="0"/>
        </c:ser>
        <c:ser>
          <c:idx val="1"/>
          <c:order val="1"/>
          <c:tx>
            <c:v>Coverage %</c:v>
          </c:tx>
          <c:marker/>
          <c:cat>
            <c:strLit>
              <c:ptCount val="18"/>
              <c:pt idx="0">
                <c:v>Jan 25</c:v>
              </c:pt>
              <c:pt idx="1">
                <c:v>Feb 25</c:v>
              </c:pt>
              <c:pt idx="2">
                <c:v>Mar 25</c:v>
              </c:pt>
              <c:pt idx="3">
                <c:v>Apr 25</c:v>
              </c:pt>
              <c:pt idx="4">
                <c:v>May 25</c:v>
              </c:pt>
              <c:pt idx="5">
                <c:v>Jun 25</c:v>
              </c:pt>
              <c:pt idx="6">
                <c:v>Jul 25</c:v>
              </c:pt>
              <c:pt idx="7">
                <c:v>Aug 25</c:v>
              </c:pt>
              <c:pt idx="8">
                <c:v>Sep 25</c:v>
              </c:pt>
              <c:pt idx="9">
                <c:v>Oct 25</c:v>
              </c:pt>
              <c:pt idx="10">
                <c:v>Nov 25</c:v>
              </c:pt>
              <c:pt idx="11">
                <c:v>Dec 25</c:v>
              </c:pt>
              <c:pt idx="12">
                <c:v>Jan 26</c:v>
              </c:pt>
              <c:pt idx="13">
                <c:v>Feb 26</c:v>
              </c:pt>
              <c:pt idx="14">
                <c:v>Mar 26</c:v>
              </c:pt>
              <c:pt idx="15">
                <c:v>Apr 26</c:v>
              </c:pt>
              <c:pt idx="16">
                <c:v>May 26</c:v>
              </c:pt>
              <c:pt idx="17">
                <c:v>Jun 26</c:v>
              </c:pt>
            </c:strLit>
          </c:cat>
          <c:val>
            <c:numLit>
              <c:formatCode/>
              <c:ptCount val="18"/>
              <c:pt idx="0">
                <c:v>64</c:v>
              </c:pt>
              <c:pt idx="1">
                <c:v>65.8</c:v>
              </c:pt>
              <c:pt idx="2">
                <c:v>67.6</c:v>
              </c:pt>
              <c:pt idx="3">
                <c:v>67.6</c:v>
              </c:pt>
              <c:pt idx="4">
                <c:v>69.4</c:v>
              </c:pt>
              <c:pt idx="5">
                <c:v>71.2</c:v>
              </c:pt>
              <c:pt idx="6">
                <c:v>71.2</c:v>
              </c:pt>
              <c:pt idx="7">
                <c:v>73</c:v>
              </c:pt>
              <c:pt idx="8">
                <c:v>74.8</c:v>
              </c:pt>
              <c:pt idx="9">
                <c:v>74.8</c:v>
              </c:pt>
              <c:pt idx="10">
                <c:v>76.6</c:v>
              </c:pt>
              <c:pt idx="11">
                <c:v>78.4</c:v>
              </c:pt>
              <c:pt idx="12">
                <c:v>78.4</c:v>
              </c:pt>
              <c:pt idx="13">
                <c:v>80.2</c:v>
              </c:pt>
              <c:pt idx="14">
                <c:v>82</c:v>
              </c:pt>
              <c:pt idx="15">
                <c:v>82</c:v>
              </c:pt>
              <c:pt idx="16">
                <c:v>83.8</c:v>
              </c:pt>
              <c:pt idx="17">
                <c:v>85.6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Delivery Trend: Completed vs Defects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Completed</c:v>
          </c:tx>
          <c:marker/>
          <c:cat>
            <c:strLit>
              <c:ptCount val="18"/>
              <c:pt idx="0">
                <c:v>Jan 25</c:v>
              </c:pt>
              <c:pt idx="1">
                <c:v>Feb 25</c:v>
              </c:pt>
              <c:pt idx="2">
                <c:v>Mar 25</c:v>
              </c:pt>
              <c:pt idx="3">
                <c:v>Apr 25</c:v>
              </c:pt>
              <c:pt idx="4">
                <c:v>May 25</c:v>
              </c:pt>
              <c:pt idx="5">
                <c:v>Jun 25</c:v>
              </c:pt>
              <c:pt idx="6">
                <c:v>Jul 25</c:v>
              </c:pt>
              <c:pt idx="7">
                <c:v>Aug 25</c:v>
              </c:pt>
              <c:pt idx="8">
                <c:v>Sep 25</c:v>
              </c:pt>
              <c:pt idx="9">
                <c:v>Oct 25</c:v>
              </c:pt>
              <c:pt idx="10">
                <c:v>Nov 25</c:v>
              </c:pt>
              <c:pt idx="11">
                <c:v>Dec 25</c:v>
              </c:pt>
              <c:pt idx="12">
                <c:v>Jan 26</c:v>
              </c:pt>
              <c:pt idx="13">
                <c:v>Feb 26</c:v>
              </c:pt>
              <c:pt idx="14">
                <c:v>Mar 26</c:v>
              </c:pt>
              <c:pt idx="15">
                <c:v>Apr 26</c:v>
              </c:pt>
              <c:pt idx="16">
                <c:v>May 26</c:v>
              </c:pt>
              <c:pt idx="17">
                <c:v>Jun 26</c:v>
              </c:pt>
            </c:strLit>
          </c:cat>
          <c:val>
            <c:numLit>
              <c:formatCode/>
              <c:ptCount val="18"/>
              <c:pt idx="0">
                <c:v>18</c:v>
              </c:pt>
              <c:pt idx="1">
                <c:v>21</c:v>
              </c:pt>
              <c:pt idx="2">
                <c:v>25</c:v>
              </c:pt>
              <c:pt idx="3">
                <c:v>28</c:v>
              </c:pt>
              <c:pt idx="4">
                <c:v>24</c:v>
              </c:pt>
              <c:pt idx="5">
                <c:v>27</c:v>
              </c:pt>
              <c:pt idx="6">
                <c:v>31</c:v>
              </c:pt>
              <c:pt idx="7">
                <c:v>34</c:v>
              </c:pt>
              <c:pt idx="8">
                <c:v>30</c:v>
              </c:pt>
              <c:pt idx="9">
                <c:v>33</c:v>
              </c:pt>
              <c:pt idx="10">
                <c:v>37</c:v>
              </c:pt>
              <c:pt idx="11">
                <c:v>40</c:v>
              </c:pt>
              <c:pt idx="12">
                <c:v>36</c:v>
              </c:pt>
              <c:pt idx="13">
                <c:v>39</c:v>
              </c:pt>
              <c:pt idx="14">
                <c:v>43</c:v>
              </c:pt>
              <c:pt idx="15">
                <c:v>46</c:v>
              </c:pt>
              <c:pt idx="16">
                <c:v>42</c:v>
              </c:pt>
              <c:pt idx="17">
                <c:v>45</c:v>
              </c:pt>
            </c:numLit>
          </c:val>
          <c:smooth val="0"/>
        </c:ser>
        <c:ser>
          <c:idx val="1"/>
          <c:order val="1"/>
          <c:tx>
            <c:v>Escaped Defects</c:v>
          </c:tx>
          <c:marker/>
          <c:cat>
            <c:strLit>
              <c:ptCount val="18"/>
              <c:pt idx="0">
                <c:v>Jan 25</c:v>
              </c:pt>
              <c:pt idx="1">
                <c:v>Feb 25</c:v>
              </c:pt>
              <c:pt idx="2">
                <c:v>Mar 25</c:v>
              </c:pt>
              <c:pt idx="3">
                <c:v>Apr 25</c:v>
              </c:pt>
              <c:pt idx="4">
                <c:v>May 25</c:v>
              </c:pt>
              <c:pt idx="5">
                <c:v>Jun 25</c:v>
              </c:pt>
              <c:pt idx="6">
                <c:v>Jul 25</c:v>
              </c:pt>
              <c:pt idx="7">
                <c:v>Aug 25</c:v>
              </c:pt>
              <c:pt idx="8">
                <c:v>Sep 25</c:v>
              </c:pt>
              <c:pt idx="9">
                <c:v>Oct 25</c:v>
              </c:pt>
              <c:pt idx="10">
                <c:v>Nov 25</c:v>
              </c:pt>
              <c:pt idx="11">
                <c:v>Dec 25</c:v>
              </c:pt>
              <c:pt idx="12">
                <c:v>Jan 26</c:v>
              </c:pt>
              <c:pt idx="13">
                <c:v>Feb 26</c:v>
              </c:pt>
              <c:pt idx="14">
                <c:v>Mar 26</c:v>
              </c:pt>
              <c:pt idx="15">
                <c:v>Apr 26</c:v>
              </c:pt>
              <c:pt idx="16">
                <c:v>May 26</c:v>
              </c:pt>
              <c:pt idx="17">
                <c:v>Jun 26</c:v>
              </c:pt>
            </c:strLit>
          </c:cat>
          <c:val>
            <c:numLit>
              <c:formatCode/>
              <c:ptCount val="18"/>
              <c:pt idx="0">
                <c:v>12</c:v>
              </c:pt>
              <c:pt idx="1">
                <c:v>13</c:v>
              </c:pt>
              <c:pt idx="2">
                <c:v>14</c:v>
              </c:pt>
              <c:pt idx="3">
                <c:v>14</c:v>
              </c:pt>
              <c:pt idx="4">
                <c:v>15</c:v>
              </c:pt>
              <c:pt idx="5">
                <c:v>10</c:v>
              </c:pt>
              <c:pt idx="6">
                <c:v>11</c:v>
              </c:pt>
              <c:pt idx="7">
                <c:v>11</c:v>
              </c:pt>
              <c:pt idx="8">
                <c:v>12</c:v>
              </c:pt>
              <c:pt idx="9">
                <c:v>12</c:v>
              </c:pt>
              <c:pt idx="10">
                <c:v>8</c:v>
              </c:pt>
              <c:pt idx="11">
                <c:v>9</c:v>
              </c:pt>
              <c:pt idx="12">
                <c:v>9</c:v>
              </c:pt>
              <c:pt idx="13">
                <c:v>10</c:v>
              </c:pt>
              <c:pt idx="14">
                <c:v>10</c:v>
              </c:pt>
              <c:pt idx="15">
                <c:v>6</c:v>
              </c:pt>
              <c:pt idx="16">
                <c:v>6</c:v>
              </c:pt>
              <c:pt idx="17">
                <c:v>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Month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Count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19</xdr:row>
      <xdr:rowOff>0</xdr:rowOff>
    </xdr:from>
    <xdr:ext cx="3429000" cy="7620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29000" cy="7620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AFBF1"/>
        </a:solidFill>
        <a:ln xmlns:a="http://schemas.openxmlformats.org/drawingml/2006/main" w="19050">
          <a:solidFill>
            <a:srgbClr val="2ADB5C"/>
          </a:solidFill>
          <a:prstDash val="solid"/>
        </a:ln>
      </xdr:spPr>
    </xdr:sp>
    <xdr:clientData/>
  </xdr:oneCellAnchor>
  <xdr:oneCellAnchor>
    <xdr:from>
      <xdr:col>5</xdr:col>
      <xdr:colOff>0</xdr:colOff>
      <xdr:row>19</xdr:row>
      <xdr:rowOff>0</xdr:rowOff>
    </xdr:from>
    <xdr:ext cx="1809750" cy="7620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809750" cy="762000"/>
        </a:xfrm>
        <a:prstGeom xmlns:a="http://schemas.openxmlformats.org/drawingml/2006/main" prst="rtTriangle">
          <a:avLst/>
        </a:prstGeom>
        <a:solidFill xmlns:a="http://schemas.openxmlformats.org/drawingml/2006/main">
          <a:srgbClr val="E0F2FE"/>
        </a:solidFill>
        <a:ln xmlns:a="http://schemas.openxmlformats.org/drawingml/2006/main" w="9525">
          <a:solidFill>
            <a:srgbClr val="38BDF8"/>
          </a:solidFill>
          <a:prstDash val="solid"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5</xdr:col>
      <xdr:colOff>0</xdr:colOff>
      <xdr:row>16</xdr:row>
      <xdr:rowOff>0</xdr:rowOff>
    </xdr:from>
    <xdr:ext cx="428625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2ef393cab440af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6096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1380f8651d47fd"/>
        </a:graphicData>
      </a:graphic>
    </xdr:graphicFrame>
    <xdr:clientData/>
  </xdr:oneCellAnchor>
  <xdr:oneCellAnchor>
    <xdr:from>
      <xdr:col>8</xdr:col>
      <xdr:colOff>0</xdr:colOff>
      <xdr:row>30</xdr:row>
      <xdr:rowOff>0</xdr:rowOff>
    </xdr:from>
    <xdr:ext cx="3810000" cy="1143000"/>
    <xdr:sp>
      <xdr:nvSpPr>
        <xdr:cNvPr id="3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810000" cy="11430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0FDFA"/>
        </a:solidFill>
        <a:ln xmlns:a="http://schemas.openxmlformats.org/drawingml/2006/main" w="9525">
          <a:solidFill>
            <a:srgbClr val="14B8A6"/>
          </a:solidFill>
          <a:prstDash val="solid"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13</xdr:col>
      <xdr:colOff>0</xdr:colOff>
      <xdr:row>3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a31703367f45ab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27</xdr:row>
      <xdr:rowOff>0</xdr:rowOff>
    </xdr:from>
    <xdr:ext cx="40005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0005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ECFDF5"/>
        </a:solidFill>
        <a:ln xmlns:a="http://schemas.openxmlformats.org/drawingml/2006/main" w="19050">
          <a:solidFill>
            <a:srgbClr val="2ADB5C"/>
          </a:solidFill>
          <a:prstDash val="dash"/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2095500" cy="9525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952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EFF6FF"/>
        </a:solidFill>
        <a:ln xmlns:a="http://schemas.openxmlformats.org/drawingml/2006/main" w="9525">
          <a:solidFill>
            <a:srgbClr val="60A5FA"/>
          </a:solidFill>
          <a:prstDash val="solid"/>
        </a:ln>
      </xdr:spPr>
    </xdr:sp>
    <xdr:clientData/>
  </xdr:oneCellAnchor>
</xdr:wsDr>
</file>

<file path=xl/tables/table1.xml><?xml version="1.0" encoding="utf-8"?>
<x:table xmlns:x="http://schemas.openxmlformats.org/spreadsheetml/2006/main" id="2" name="TasksTable" displayName="TasksTable" ref="A4:Q44" headerRowCount="1">
  <x:tableColumns count="17">
    <x:tableColumn id="1" name="ID"/>
    <x:tableColumn id="2" name="Feature"/>
    <x:tableColumn id="3" name="Area"/>
    <x:tableColumn id="4" name="Owner"/>
    <x:tableColumn id="5" name="Status"/>
    <x:tableColumn id="6" name="Priority"/>
    <x:tableColumn id="7" name="Start Date"/>
    <x:tableColumn id="8" name="Due Date"/>
    <x:tableColumn id="9" name="Days Left"/>
    <x:tableColumn id="10" name="Progress"/>
    <x:tableColumn id="11" name="Estimate h"/>
    <x:tableColumn id="12" name="Spent h"/>
    <x:tableColumn id="13" name="Remaining h"/>
    <x:tableColumn id="14" name="Risk"/>
    <x:tableColumn id="15" name="Cost"/>
    <x:tableColumn id="16" name="Link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3" name="MonthlySignalsTable" displayName="MonthlySignalsTable" ref="A4:L22" headerRowCount="1">
  <x:tableColumns count="12">
    <x:tableColumn id="1" name="Month"/>
    <x:tableColumn id="2" name="Completed"/>
    <x:tableColumn id="3" name="Escaped Defects"/>
    <x:tableColumn id="4" name="Coverage"/>
    <x:tableColumn id="5" name="Lead Time"/>
    <x:tableColumn id="6" name="Fitness Score"/>
    <x:tableColumn id="7" name="Sparkline"/>
    <x:tableColumn id="8" name="Revenue"/>
    <x:tableColumn id="9" name="Cost"/>
    <x:tableColumn id="10" name="Margin"/>
    <x:tableColumn id="11" name="Quality Gate"/>
    <x:tableColumn id="12" name="Note"/>
  </x:tableColumns>
  <x:tableStyleInfo name="TableStyleMedium2" showRowStripes="1"/>
</x:table>
</file>

<file path=xl/tables/table3.xml><?xml version="1.0" encoding="utf-8"?>
<x:table xmlns:x="http://schemas.openxmlformats.org/spreadsheetml/2006/main" id="1" name="ConfigLookup" displayName="ConfigLookup" ref="A3:F10" headerRowCount="1">
  <x:tableColumns count="6">
    <x:tableColumn id="1" name="Owner"/>
    <x:tableColumn id="2" name="Hourly Rate"/>
    <x:tableColumn id="3" name="Team"/>
    <x:tableColumn id="4" name="Capacity / week"/>
    <x:tableColumn id="5" name="Color Key"/>
    <x:tableColumn id="6" name="Sor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e271c26b3145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205d51dd5fc41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7cebd41f5b94f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db9d7656d63493c" /><Relationship Type="http://schemas.openxmlformats.org/officeDocument/2006/relationships/table" Target="/xl/tables/table2.xml" Id="R19d4d3db11d544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858c24ad63164e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2387c3d013f745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42" hidden="0" customWidth="1"/>
    <x:col min="5" max="5" width="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2" customHeight="1">
      <x:c r="A1" s="7" t="str">
        <x:v>Complex Excel Renderer Test Workbook</x:v>
      </x:c>
      <x:c r="B1" s="7"/>
      <x:c r="C1" s="7"/>
      <x:c r="D1" s="7"/>
      <x:c r="E1" s="7"/>
      <x:c r="F1" s="7"/>
      <x:c r="G1" s="7"/>
      <x:c r="H1" s="7"/>
      <x:c r="I1" s="7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4" t="str">
        <x:v>用于测试本地 Excel renderer 对布局、公式、图表、条件格式、数据验证、合并单元格和跨表引用的支持情况。</x:v>
      </x:c>
      <x:c r="B2" s="14"/>
      <x:c r="C2" s="14"/>
      <x:c r="D2" s="14"/>
      <x:c r="E2" s="14"/>
      <x:c r="F2" s="14"/>
      <x:c r="G2" s="14"/>
      <x:c r="H2" s="14"/>
      <x:c r="I2" s="14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6" t="str">
        <x:v>Renderer coverage checklist</x:v>
      </x:c>
      <x:c r="B4" s="27"/>
      <x:c r="C4" s="27"/>
      <x:c r="D4" s="27"/>
      <x:c r="E4" s="27"/>
      <x:c r="F4" s="27"/>
      <x:c r="G4" s="27"/>
      <x:c r="H4" s="27"/>
      <x:c r="I4" s="28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45" t="str">
        <x:v>Feature</x:v>
      </x:c>
      <x:c r="B6" s="45" t="str">
        <x:v>Where to inspect</x:v>
      </x:c>
      <x:c r="C6" s="45" t="str">
        <x:v>Why it matters</x:v>
      </x:c>
      <x:c r="D6" s="45" t="str">
        <x:v>Expected render behavior</x:v>
      </x:c>
      <x:c r="E6" s="2"/>
      <x:c r="F6" s="66" t="str">
        <x:v>Useful links</x:v>
      </x:c>
      <x:c r="G6" s="67"/>
      <x:c r="H6" s="67"/>
      <x:c r="I6" s="68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customHeight="1">
      <x:c r="A7" s="53" t="str">
        <x:v>Merged title bands</x:v>
      </x:c>
      <x:c r="B7" s="53" t="str">
        <x:v>00_README / 01_Dashboard / 07_Layout_Stress</x:v>
      </x:c>
      <x:c r="C7" s="56" t="str">
        <x:v>很多报表会使用合并标题区</x:v>
      </x:c>
      <x:c r="D7" s="56" t="str">
        <x:v>标题不重叠、不截断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customHeight="1">
      <x:c r="A8" s="53" t="str">
        <x:v>Frozen panes</x:v>
      </x:c>
      <x:c r="B8" s="53" t="str">
        <x:v>02_Tasks_Table, 03_TimeSeries</x:v>
      </x:c>
      <x:c r="C8" s="56" t="str">
        <x:v>大表头与首列保持可见</x:v>
      </x:c>
      <x:c r="D8" s="56" t="str">
        <x:v>冻结线位置正确</x:v>
      </x:c>
      <x:c r="E8" s="2"/>
      <x:c r="F8" s="85" t="str">
        <x:v>Project</x:v>
      </x:c>
      <x:c r="G8" s="85" t="str">
        <x:v>Link formula</x:v>
      </x:c>
      <x:c r="H8" s="85" t="str">
        <x:v>Notes</x:v>
      </x:c>
      <x:c r="I8" s="85" t="str">
        <x:v>Status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customHeight="1">
      <x:c r="A9" s="53" t="str">
        <x:v>Data validation dropdowns</x:v>
      </x:c>
      <x:c r="B9" s="53" t="str">
        <x:v>02_Tasks_Table!E2:F41, 06_Validation_Form</x:v>
      </x:c>
      <x:c r="C9" s="56" t="str">
        <x:v>表单型 Sheet 常用</x:v>
      </x:c>
      <x:c r="D9" s="56" t="str">
        <x:v>单元格正常显示，dropdown 元数据保留</x:v>
      </x:c>
      <x:c r="E9" s="2"/>
      <x:c r="F9" s="53" t="str">
        <x:v>Renderer smoke test</x:v>
      </x:c>
      <x:c r="G9" s="53" t="e">
        <x:f>HYPERLINK("https://github.com/phodal/routa","Routa repo")</x:f>
      </x:c>
      <x:c r="H9" s="56" t="str">
        <x:v>外部链接公式</x:v>
      </x:c>
      <x:c r="I9" s="53" t="str">
        <x:v>OK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2" customHeight="1">
      <x:c r="A10" s="53" t="str">
        <x:v>Conditional formatting</x:v>
      </x:c>
      <x:c r="B10" s="53" t="str">
        <x:v>02_Tasks_Table, 04_Heatmap</x:v>
      </x:c>
      <x:c r="C10" s="56" t="str">
        <x:v>风险、逾期、热力图</x:v>
      </x:c>
      <x:c r="D10" s="56" t="str">
        <x:v>色阶、data bar、icon set 尽可能保留</x:v>
      </x:c>
      <x:c r="E10" s="2"/>
      <x:c r="F10" s="53" t="str">
        <x:v>OpenXML concept</x:v>
      </x:c>
      <x:c r="G10" s="53" t="e">
        <x:f>HYPERLINK("https://learn.microsoft.com/en-us/office/open-xml/open-xml-sdk","OpenXML SDK")</x:f>
      </x:c>
      <x:c r="H10" s="56" t="str">
        <x:v>参考格式</x:v>
      </x:c>
      <x:c r="I10" s="53" t="str">
        <x:v>OK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2" customHeight="1">
      <x:c r="A11" s="53" t="str">
        <x:v>Charts</x:v>
      </x:c>
      <x:c r="B11" s="53" t="str">
        <x:v>01_Dashboard, 03_TimeSeries</x:v>
      </x:c>
      <x:c r="C11" s="56" t="str">
        <x:v>仪表盘渲染</x:v>
      </x:c>
      <x:c r="D11" s="56" t="str">
        <x:v>柱状/折线图位置与尺寸正确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2" customHeight="1">
      <x:c r="A12" s="53" t="str">
        <x:v>Sparklines</x:v>
      </x:c>
      <x:c r="B12" s="53" t="str">
        <x:v>03_TimeSeries!G2:G19</x:v>
      </x:c>
      <x:c r="C12" s="56" t="str">
        <x:v>行内趋势</x:v>
      </x:c>
      <x:c r="D12" s="56" t="str">
        <x:v>趋势小图不遮挡文字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2" customHeight="1">
      <x:c r="A13" s="53" t="str">
        <x:v>Cross-sheet formulas</x:v>
      </x:c>
      <x:c r="B13" s="53" t="str">
        <x:v>01_Dashboard, 05_Formula_Lab</x:v>
      </x:c>
      <x:c r="C13" s="56" t="str">
        <x:v>真实工作簿常见</x:v>
      </x:c>
      <x:c r="D13" s="56" t="str">
        <x:v>公式不变成静态错值</x:v>
      </x:c>
      <x:c r="E13" s="2"/>
      <x:c r="F13" s="111" t="str">
        <x:v>Tip: 如果 renderer 只支持基础网格，先检查 02_Tasks_Table 与 03_TimeSeries；如果支持 drawing/chart，再检查 Dashboard 和 Heatmap。</x:v>
      </x:c>
      <x:c r="G13" s="112"/>
      <x:c r="H13" s="112"/>
      <x:c r="I13" s="113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2" customHeight="1">
      <x:c r="A14" s="53" t="str">
        <x:v>Hyperlink formulas</x:v>
      </x:c>
      <x:c r="B14" s="53" t="str">
        <x:v>00_README!B15:B17, 02_Tasks_Table!P2:P41</x:v>
      </x:c>
      <x:c r="C14" s="56" t="str">
        <x:v>文档/Issue 跳转</x:v>
      </x:c>
      <x:c r="D14" s="56" t="str">
        <x:v>显示友好文本</x:v>
      </x:c>
      <x:c r="E14" s="2"/>
      <x:c r="F14" s="114"/>
      <x:c r="G14" s="115"/>
      <x:c r="H14" s="115"/>
      <x:c r="I14" s="116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2" customHeight="1">
      <x:c r="A15" s="53" t="str">
        <x:v>Unicode + wrapped text</x:v>
      </x:c>
      <x:c r="B15" s="53" t="str">
        <x:v>07_Layout_Stress</x:v>
      </x:c>
      <x:c r="C15" s="56" t="str">
        <x:v>中文、emoji、长文本</x:v>
      </x:c>
      <x:c r="D15" s="56" t="str">
        <x:v>自动换行与行高可读</x:v>
      </x:c>
      <x:c r="E15" s="2"/>
      <x:c r="F15" s="114"/>
      <x:c r="G15" s="115"/>
      <x:c r="H15" s="115"/>
      <x:c r="I15" s="116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114"/>
      <x:c r="G16" s="115"/>
      <x:c r="H16" s="115"/>
      <x:c r="I16" s="116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117"/>
      <x:c r="G17" s="118"/>
      <x:c r="H17" s="118"/>
      <x:c r="I17" s="119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I1"/>
    <x:mergeCell ref="A2:I2"/>
    <x:mergeCell ref="A4:I4"/>
    <x:mergeCell ref="F6:I6"/>
    <x:mergeCell ref="F13:I17"/>
  </x:mergeCells>
  <x:pageMargins left="0.7" right="0.7" top="0.75" bottom="0.75" header="0.3" footer="0.3"/>
  <x:drawing xmlns:r="http://schemas.openxmlformats.org/officeDocument/2006/relationships" r:id="R1ee271c26b31452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4" hidden="0" customWidth="1"/>
    <x:col min="5" max="5" width="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7" t="str">
        <x:v>AI Coding Delivery Dashboard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4" t="str">
        <x:v>KPI cards, formulas, chart objects and status summary for renderer smoke testing.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6" t="str">
        <x:v>KPI Summary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8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40" t="str">
        <x:v>Total Tasks</x:v>
      </x:c>
      <x:c r="B6" s="325"/>
      <x:c r="C6" s="326"/>
      <x:c r="D6" s="340" t="str">
        <x:v>Done</x:v>
      </x:c>
      <x:c r="E6" s="325"/>
      <x:c r="F6" s="326"/>
      <x:c r="G6" s="340" t="str">
        <x:v>Blocked</x:v>
      </x:c>
      <x:c r="H6" s="325"/>
      <x:c r="I6" s="326"/>
      <x:c r="J6" s="340" t="str">
        <x:v>Overdue Open</x:v>
      </x:c>
      <x:c r="K6" s="325"/>
      <x:c r="L6" s="326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42" t="n">
        <x:f>COUNTA('02_Tasks_Table'!A5:A44)</x:f>
        <x:v>40</x:v>
      </x:c>
      <x:c r="B7" s="92"/>
      <x:c r="C7" s="328"/>
      <x:c r="D7" s="342" t="n">
        <x:f>COUNTIF('02_Tasks_Table'!E5:E44,"Done")</x:f>
        <x:v>7</x:v>
      </x:c>
      <x:c r="E7" s="92"/>
      <x:c r="F7" s="328"/>
      <x:c r="G7" s="342" t="n">
        <x:f>COUNTIF('02_Tasks_Table'!E5:E44,"Blocked")</x:f>
        <x:v>6</x:v>
      </x:c>
      <x:c r="H7" s="92"/>
      <x:c r="I7" s="328"/>
      <x:c r="J7" s="342" t="n">
        <x:f>COUNTIFS('02_Tasks_Table'!H5:H44,"&lt;"&amp;TODAY(),'02_Tasks_Table'!E5:E44,"&lt;&gt;Done")</x:f>
        <x:v>17</x:v>
      </x:c>
      <x:c r="K7" s="92"/>
      <x:c r="L7" s="328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27"/>
      <x:c r="B8" s="92"/>
      <x:c r="C8" s="328"/>
      <x:c r="D8" s="327"/>
      <x:c r="E8" s="92"/>
      <x:c r="F8" s="328"/>
      <x:c r="G8" s="327"/>
      <x:c r="H8" s="92"/>
      <x:c r="I8" s="328"/>
      <x:c r="J8" s="327"/>
      <x:c r="K8" s="92"/>
      <x:c r="L8" s="328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29"/>
      <x:c r="B9" s="330"/>
      <x:c r="C9" s="331"/>
      <x:c r="D9" s="329"/>
      <x:c r="E9" s="330"/>
      <x:c r="F9" s="331"/>
      <x:c r="G9" s="329"/>
      <x:c r="H9" s="330"/>
      <x:c r="I9" s="331"/>
      <x:c r="J9" s="329"/>
      <x:c r="K9" s="330"/>
      <x:c r="L9" s="331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40" t="str">
        <x:v>Avg Progress</x:v>
      </x:c>
      <x:c r="B11" s="325"/>
      <x:c r="C11" s="326"/>
      <x:c r="D11" s="340" t="str">
        <x:v>Total Cost</x:v>
      </x:c>
      <x:c r="E11" s="325"/>
      <x:c r="F11" s="326"/>
      <x:c r="G11" s="366" t="str">
        <x:v>Narrative: this dashboard references task data, applies KPI formulas, and places charts to the right. It is intentionally more like a document/report canvas than a plain data sheet.</x:v>
      </x:c>
      <x:c r="H11" s="367"/>
      <x:c r="I11" s="367"/>
      <x:c r="J11" s="367"/>
      <x:c r="K11" s="367"/>
      <x:c r="L11" s="367"/>
      <x:c r="M11" s="367"/>
      <x:c r="N11" s="368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44" t="n">
        <x:f>AVERAGE('02_Tasks_Table'!J5:J44)</x:f>
        <x:v>0.4766230606096011</x:v>
      </x:c>
      <x:c r="B12" s="92"/>
      <x:c r="C12" s="328"/>
      <x:c r="D12" s="346" t="n">
        <x:f>SUM('02_Tasks_Table'!O5:O44)</x:f>
        <x:v>202798</x:v>
      </x:c>
      <x:c r="E12" s="92"/>
      <x:c r="F12" s="328"/>
      <x:c r="G12" s="369"/>
      <x:c r="H12" s="370"/>
      <x:c r="I12" s="370"/>
      <x:c r="J12" s="370"/>
      <x:c r="K12" s="370"/>
      <x:c r="L12" s="370"/>
      <x:c r="M12" s="370"/>
      <x:c r="N12" s="371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27"/>
      <x:c r="B13" s="92"/>
      <x:c r="C13" s="328"/>
      <x:c r="D13" s="327"/>
      <x:c r="E13" s="92"/>
      <x:c r="F13" s="328"/>
      <x:c r="G13" s="369"/>
      <x:c r="H13" s="370"/>
      <x:c r="I13" s="370"/>
      <x:c r="J13" s="370"/>
      <x:c r="K13" s="370"/>
      <x:c r="L13" s="370"/>
      <x:c r="M13" s="370"/>
      <x:c r="N13" s="371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29"/>
      <x:c r="B14" s="330"/>
      <x:c r="C14" s="331"/>
      <x:c r="D14" s="329"/>
      <x:c r="E14" s="330"/>
      <x:c r="F14" s="331"/>
      <x:c r="G14" s="372"/>
      <x:c r="H14" s="373"/>
      <x:c r="I14" s="373"/>
      <x:c r="J14" s="373"/>
      <x:c r="K14" s="373"/>
      <x:c r="L14" s="373"/>
      <x:c r="M14" s="373"/>
      <x:c r="N14" s="374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407" t="str">
        <x:v>Status</x:v>
      </x:c>
      <x:c r="B17" s="407" t="str">
        <x:v>Count</x:v>
      </x:c>
      <x:c r="C17" s="407" t="str">
        <x:v>Avg Progress</x:v>
      </x:c>
      <x:c r="D17" s="407" t="str">
        <x:v>Budget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53" t="str">
        <x:v>Backlog</x:v>
      </x:c>
      <x:c r="B18" s="53" t="n">
        <x:f>COUNTIF('02_Tasks_Table'!E5:E44,A18)</x:f>
        <x:v>7</x:v>
      </x:c>
      <x:c r="C18" s="170" t="n">
        <x:f>IFERROR(SUMIF('02_Tasks_Table'!E5:E44,A18,'02_Tasks_Table'!J5:J44)/B18,0)</x:f>
        <x:v>0.05146802563013182</x:v>
      </x:c>
      <x:c r="D18" s="166" t="n">
        <x:f>SUMIF('02_Tasks_Table'!E5:E44,A18,'02_Tasks_Table'!O5:O44)</x:f>
        <x:v>28076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53" t="str">
        <x:v>Todo</x:v>
      </x:c>
      <x:c r="B19" s="53" t="n">
        <x:f>COUNTIF('02_Tasks_Table'!E5:E44,A19)</x:f>
        <x:v>6</x:v>
      </x:c>
      <x:c r="C19" s="170" t="n">
        <x:f>IFERROR(SUMIF('02_Tasks_Table'!E5:E44,A19,'02_Tasks_Table'!J5:J44)/B19,0)</x:f>
        <x:v>0.13060144501637297</x:v>
      </x:c>
      <x:c r="D19" s="166" t="n">
        <x:f>SUMIF('02_Tasks_Table'!E5:E44,A19,'02_Tasks_Table'!O5:O44)</x:f>
        <x:v>36171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53" t="str">
        <x:v>Dev</x:v>
      </x:c>
      <x:c r="B20" s="53" t="n">
        <x:f>COUNTIF('02_Tasks_Table'!E5:E44,A20)</x:f>
        <x:v>6</x:v>
      </x:c>
      <x:c r="C20" s="170" t="n">
        <x:f>IFERROR(SUMIF('02_Tasks_Table'!E5:E44,A20,'02_Tasks_Table'!J5:J44)/B20,0)</x:f>
        <x:v>0.44822530516390063</x:v>
      </x:c>
      <x:c r="D20" s="166" t="n">
        <x:f>SUMIF('02_Tasks_Table'!E5:E44,A20,'02_Tasks_Table'!O5:O44)</x:f>
        <x:v>38409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53" t="str">
        <x:v>Review</x:v>
      </x:c>
      <x:c r="B21" s="53" t="n">
        <x:f>COUNTIF('02_Tasks_Table'!E5:E44,A21)</x:f>
        <x:v>8</x:v>
      </x:c>
      <x:c r="C21" s="170" t="n">
        <x:f>IFERROR(SUMIF('02_Tasks_Table'!E5:E44,A21,'02_Tasks_Table'!J5:J44)/B21,0)</x:f>
        <x:v>0.7511365475544369</x:v>
      </x:c>
      <x:c r="D21" s="166" t="n">
        <x:f>SUMIF('02_Tasks_Table'!E5:E44,A21,'02_Tasks_Table'!O5:O44)</x:f>
        <x:v>31806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53" t="str">
        <x:v>Done</x:v>
      </x:c>
      <x:c r="B22" s="53" t="n">
        <x:f>COUNTIF('02_Tasks_Table'!E5:E44,A22)</x:f>
        <x:v>7</x:v>
      </x:c>
      <x:c r="C22" s="170" t="n">
        <x:f>IFERROR(SUMIF('02_Tasks_Table'!E5:E44,A22,'02_Tasks_Table'!J5:J44)/B22,0)</x:f>
        <x:v>1</x:v>
      </x:c>
      <x:c r="D22" s="166" t="n">
        <x:f>SUMIF('02_Tasks_Table'!E5:E44,A22,'02_Tasks_Table'!O5:O44)</x:f>
        <x:v>45016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53" t="str">
        <x:v>Blocked</x:v>
      </x:c>
      <x:c r="B23" s="53" t="n">
        <x:f>COUNTIF('02_Tasks_Table'!E5:E44,A23)</x:f>
        <x:v>6</x:v>
      </x:c>
      <x:c r="C23" s="170" t="n">
        <x:f>IFERROR(SUMIF('02_Tasks_Table'!E5:E44,A23,'02_Tasks_Table'!J5:J44)/B23,0)</x:f>
        <x:v>0.3704322272426648</x:v>
      </x:c>
      <x:c r="D23" s="166" t="n">
        <x:f>SUMIF('02_Tasks_Table'!E5:E44,A23,'02_Tasks_Table'!O5:O44)</x:f>
        <x:v>23320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N1"/>
    <x:mergeCell ref="A2:N2"/>
    <x:mergeCell ref="A4:N4"/>
    <x:mergeCell ref="A6:C9"/>
    <x:mergeCell ref="D6:F9"/>
    <x:mergeCell ref="G6:I9"/>
    <x:mergeCell ref="J6:L9"/>
    <x:mergeCell ref="A11:C14"/>
    <x:mergeCell ref="D11:F14"/>
    <x:mergeCell ref="G11:N14"/>
  </x:mergeCells>
  <x:conditionalFormatting sqref="B18:B23">
    <x:cfRule type="dataBar" priority="1">
      <x:dataBar>
        <x:cfvo type="min"/>
        <x:cfvo type="max"/>
        <x:color rgb="2ADB5C"/>
      </x:dataBar>
      <x:extLst>
        <x:ext xmlns:x14="http://schemas.microsoft.com/office/spreadsheetml/2009/9/main" uri="{B025F937-C7B1-47D3-B67F-A62EFF666E3E}">
          <x14:id>{1D9480A6-A09C-BA36-59E5-976F6974E284}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205d51dd5fc410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D9480A6-A09C-BA36-59E5-976F6974E284}">
            <x14:dataBar gradient="1">
              <x14:cfvo type="min"/>
              <x14:cfvo type="max"/>
              <x14:fillColor rgb="2ADB5C"/>
            </x14:dataBar>
          </x14:cfRule>
          <xm:sqref>B18:B23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3" hidden="0" customWidth="1"/>
    <x:col min="4" max="4" width="12" hidden="0" customWidth="1"/>
    <x:col min="5" max="5" width="12" hidden="0" customWidth="1"/>
    <x:col min="6" max="6" width="10" hidden="0" customWidth="1"/>
    <x:col min="7" max="7" width="13" hidden="0" customWidth="1"/>
    <x:col min="8" max="8" width="13" hidden="0" customWidth="1"/>
    <x:col min="9" max="9" width="11" hidden="0" customWidth="1"/>
    <x:col min="10" max="10" width="12" hidden="0" customWidth="1"/>
    <x:col min="11" max="11" width="11" hidden="0" customWidth="1"/>
    <x:col min="12" max="12" width="10" hidden="0" customWidth="1"/>
    <x:col min="13" max="13" width="12" hidden="0" customWidth="1"/>
    <x:col min="14" max="14" width="8" hidden="0" customWidth="1"/>
    <x:col min="15" max="15" width="12" hidden="0" customWidth="1"/>
    <x:col min="16" max="16" width="10" hidden="0" customWidth="1"/>
    <x:col min="17" max="17" width="44" hidden="0" customWidth="1"/>
  </x:cols>
  <x:sheetData>
    <x:row r="1" ht="32" customHeight="1">
      <x:c r="A1" s="7" t="str">
        <x:v>Task Table with Formulas, Validation and Conditional Formatting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4" t="str">
        <x:v>A realistic project table designed to stress row height, formulas, dropdown validation, conditional formatting and table rendering.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8" customHeight="1">
      <x:c r="A4" s="45" t="str">
        <x:v>ID</x:v>
      </x:c>
      <x:c r="B4" s="45" t="str">
        <x:v>Feature</x:v>
      </x:c>
      <x:c r="C4" s="45" t="str">
        <x:v>Area</x:v>
      </x:c>
      <x:c r="D4" s="45" t="str">
        <x:v>Owner</x:v>
      </x:c>
      <x:c r="E4" s="45" t="str">
        <x:v>Status</x:v>
      </x:c>
      <x:c r="F4" s="45" t="str">
        <x:v>Priority</x:v>
      </x:c>
      <x:c r="G4" s="45" t="str">
        <x:v>Start Date</x:v>
      </x:c>
      <x:c r="H4" s="45" t="str">
        <x:v>Due Date</x:v>
      </x:c>
      <x:c r="I4" s="45" t="str">
        <x:v>Days Left</x:v>
      </x:c>
      <x:c r="J4" s="45" t="str">
        <x:v>Progress</x:v>
      </x:c>
      <x:c r="K4" s="45" t="str">
        <x:v>Estimate h</x:v>
      </x:c>
      <x:c r="L4" s="45" t="str">
        <x:v>Spent h</x:v>
      </x:c>
      <x:c r="M4" s="45" t="str">
        <x:v>Remaining h</x:v>
      </x:c>
      <x:c r="N4" s="45" t="str">
        <x:v>Risk</x:v>
      </x:c>
      <x:c r="O4" s="45" t="str">
        <x:v>Cost</x:v>
      </x:c>
      <x:c r="P4" s="45" t="str">
        <x:v>Link</x:v>
      </x:c>
      <x:c r="Q4" s="45" t="str">
        <x:v>Notes</x:v>
      </x:c>
      <x:c r="R4" s="2"/>
      <x:c r="S4" s="2"/>
      <x:c r="T4" s="2"/>
      <x:c r="U4" s="2"/>
      <x:c r="V4" s="2"/>
      <x:c r="W4" s="2"/>
      <x:c r="X4" s="2"/>
      <x:c r="Y4" s="2"/>
      <x:c r="Z4" s="2"/>
    </x:row>
    <x:row r="5" ht="33" customHeight="1">
      <x:c r="A5" s="53" t="str">
        <x:v>RTA-1001</x:v>
      </x:c>
      <x:c r="B5" s="53" t="str">
        <x:v>Feature Explorer</x:v>
      </x:c>
      <x:c r="C5" s="53" t="str">
        <x:v>UI</x:v>
      </x:c>
      <x:c r="D5" s="53" t="str">
        <x:v>Ben</x:v>
      </x:c>
      <x:c r="E5" s="53" t="str">
        <x:v>Review</x:v>
      </x:c>
      <x:c r="F5" s="53" t="str">
        <x:v>P1</x:v>
      </x:c>
      <x:c r="G5" s="168" t="n">
        <x:v>46115</x:v>
      </x:c>
      <x:c r="H5" s="168" t="n">
        <x:v>46121</x:v>
      </x:c>
      <x:c r="I5" s="53" t="n">
        <x:f>H5-TODAY()</x:f>
        <x:v>-22</x:v>
      </x:c>
      <x:c r="J5" s="170" t="n">
        <x:v>0.721813242373306</x:v>
      </x:c>
      <x:c r="K5" s="172" t="n">
        <x:v>17</x:v>
      </x:c>
      <x:c r="L5" s="172" t="n">
        <x:v>11.6</x:v>
      </x:c>
      <x:c r="M5" s="172" t="n">
        <x:f>MAX(0,K5-L5)</x:f>
        <x:v>5.4</x:v>
      </x:c>
      <x:c r="N5" s="53" t="n">
        <x:v>3</x:v>
      </x:c>
      <x:c r="O5" s="166" t="n">
        <x:f>K5*VLOOKUP(D5,'99_Config'!$A$4:$B$10,2,FALSE)</x:f>
        <x:v>2244</x:v>
      </x:c>
      <x:c r="P5" s="53" t="e">
        <x:f>HYPERLINK("https://example.com/tasks/"&amp;A5,"open")</x:f>
      </x:c>
      <x:c r="Q5" s="56" t="str">
        <x:v>中文说明 + long note for renderer wrapping. Card #1 touches Feature Explorer, AC-001, and has evidence links.</x:v>
      </x:c>
      <x:c r="R5" s="2"/>
      <x:c r="S5" s="2"/>
      <x:c r="T5" s="2"/>
      <x:c r="U5" s="2"/>
      <x:c r="V5" s="2"/>
      <x:c r="W5" s="2"/>
      <x:c r="X5" s="2"/>
      <x:c r="Y5" s="2"/>
      <x:c r="Z5" s="2"/>
    </x:row>
    <x:row r="6" ht="33" customHeight="1">
      <x:c r="A6" s="53" t="str">
        <x:v>RTA-1002</x:v>
      </x:c>
      <x:c r="B6" s="53" t="str">
        <x:v>Task-Adaptive Harness</x:v>
      </x:c>
      <x:c r="C6" s="53" t="str">
        <x:v>Harness</x:v>
      </x:c>
      <x:c r="D6" s="53" t="str">
        <x:v>Chen</x:v>
      </x:c>
      <x:c r="E6" s="53" t="str">
        <x:v>Backlog</x:v>
      </x:c>
      <x:c r="F6" s="53" t="str">
        <x:v>P2</x:v>
      </x:c>
      <x:c r="G6" s="168" t="n">
        <x:v>46117</x:v>
      </x:c>
      <x:c r="H6" s="168" t="n">
        <x:v>46124</x:v>
      </x:c>
      <x:c r="I6" s="53" t="n">
        <x:f>H6-TODAY()</x:f>
        <x:v>-19</x:v>
      </x:c>
      <x:c r="J6" s="170" t="n">
        <x:v>0.07414951568637661</x:v>
      </x:c>
      <x:c r="K6" s="172" t="n">
        <x:v>22</x:v>
      </x:c>
      <x:c r="L6" s="172" t="n">
        <x:v>0.3</x:v>
      </x:c>
      <x:c r="M6" s="172" t="n">
        <x:f>MAX(0,K6-L6)</x:f>
        <x:v>21.7</x:v>
      </x:c>
      <x:c r="N6" s="53" t="n">
        <x:v>4</x:v>
      </x:c>
      <x:c r="O6" s="166" t="n">
        <x:f>K6*VLOOKUP(D6,'99_Config'!$A$4:$B$10,2,FALSE)</x:f>
        <x:v>2596</x:v>
      </x:c>
      <x:c r="P6" s="53" t="e">
        <x:f>HYPERLINK("https://example.com/tasks/"&amp;A6,"open")</x:f>
      </x:c>
      <x:c r="Q6" s="56" t="str">
        <x:v>中文说明 + long note for renderer wrapping. Card #2 touches Task-Adaptive Harness, AC-002, and has evidence links.</x:v>
      </x:c>
      <x:c r="R6" s="2"/>
      <x:c r="S6" s="2"/>
      <x:c r="T6" s="2"/>
      <x:c r="U6" s="2"/>
      <x:c r="V6" s="2"/>
      <x:c r="W6" s="2"/>
      <x:c r="X6" s="2"/>
      <x:c r="Y6" s="2"/>
      <x:c r="Z6" s="2"/>
    </x:row>
    <x:row r="7" ht="33" customHeight="1">
      <x:c r="A7" s="53" t="str">
        <x:v>RTA-1003</x:v>
      </x:c>
      <x:c r="B7" s="53" t="str">
        <x:v>Entrix Fitness</x:v>
      </x:c>
      <x:c r="C7" s="53" t="str">
        <x:v>Agent</x:v>
      </x:c>
      <x:c r="D7" s="53" t="str">
        <x:v>Dina</x:v>
      </x:c>
      <x:c r="E7" s="53" t="str">
        <x:v>Review</x:v>
      </x:c>
      <x:c r="F7" s="53" t="str">
        <x:v>P3</x:v>
      </x:c>
      <x:c r="G7" s="168" t="n">
        <x:v>46119</x:v>
      </x:c>
      <x:c r="H7" s="168" t="n">
        <x:v>46127</x:v>
      </x:c>
      <x:c r="I7" s="53" t="n">
        <x:f>H7-TODAY()</x:f>
        <x:v>-16</x:v>
      </x:c>
      <x:c r="J7" s="170" t="n">
        <x:v>0.7557411206890703</x:v>
      </x:c>
      <x:c r="K7" s="172" t="n">
        <x:v>27</x:v>
      </x:c>
      <x:c r="L7" s="172" t="n">
        <x:v>20.8</x:v>
      </x:c>
      <x:c r="M7" s="172" t="n">
        <x:f>MAX(0,K7-L7)</x:f>
        <x:v>6.199999999999999</x:v>
      </x:c>
      <x:c r="N7" s="53" t="n">
        <x:v>2</x:v>
      </x:c>
      <x:c r="O7" s="166" t="n">
        <x:f>K7*VLOOKUP(D7,'99_Config'!$A$4:$B$10,2,FALSE)</x:f>
        <x:v>4212</x:v>
      </x:c>
      <x:c r="P7" s="53" t="e">
        <x:f>HYPERLINK("https://example.com/tasks/"&amp;A7,"open")</x:f>
      </x:c>
      <x:c r="Q7" s="56" t="str">
        <x:v>中文说明 + long note for renderer wrapping. Card #3 touches Entrix Fitness, AC-003, and has evidence links.</x:v>
      </x:c>
      <x:c r="R7" s="2"/>
      <x:c r="S7" s="2"/>
      <x:c r="T7" s="2"/>
      <x:c r="U7" s="2"/>
      <x:c r="V7" s="2"/>
      <x:c r="W7" s="2"/>
      <x:c r="X7" s="2"/>
      <x:c r="Y7" s="2"/>
      <x:c r="Z7" s="2"/>
    </x:row>
    <x:row r="8" ht="33" customHeight="1">
      <x:c r="A8" s="53" t="str">
        <x:v>RTA-1004</x:v>
      </x:c>
      <x:c r="B8" s="53" t="str">
        <x:v>Agent Trace Learning</x:v>
      </x:c>
      <x:c r="C8" s="53" t="str">
        <x:v>Data</x:v>
      </x:c>
      <x:c r="D8" s="53" t="str">
        <x:v>Eli</x:v>
      </x:c>
      <x:c r="E8" s="53" t="str">
        <x:v>Todo</x:v>
      </x:c>
      <x:c r="F8" s="53" t="str">
        <x:v>P0</x:v>
      </x:c>
      <x:c r="G8" s="168" t="n">
        <x:v>46121</x:v>
      </x:c>
      <x:c r="H8" s="168" t="n">
        <x:v>46130</x:v>
      </x:c>
      <x:c r="I8" s="53" t="n">
        <x:f>H8-TODAY()</x:f>
        <x:v>-13</x:v>
      </x:c>
      <x:c r="J8" s="170" t="n">
        <x:v>0.07927982796395308</x:v>
      </x:c>
      <x:c r="K8" s="172" t="n">
        <x:v>32</x:v>
      </x:c>
      <x:c r="L8" s="172" t="n">
        <x:v>4.2</x:v>
      </x:c>
      <x:c r="M8" s="172" t="n">
        <x:f>MAX(0,K8-L8)</x:f>
        <x:v>27.8</x:v>
      </x:c>
      <x:c r="N8" s="53" t="n">
        <x:v>5</x:v>
      </x:c>
      <x:c r="O8" s="166" t="n">
        <x:f>K8*VLOOKUP(D8,'99_Config'!$A$4:$B$10,2,FALSE)</x:f>
        <x:v>3968</x:v>
      </x:c>
      <x:c r="P8" s="53" t="e">
        <x:f>HYPERLINK("https://example.com/tasks/"&amp;A8,"open")</x:f>
      </x:c>
      <x:c r="Q8" s="56" t="str">
        <x:v>中文说明 + long note for renderer wrapping. Card #4 touches Agent Trace Learning, AC-004, and has evidence links.</x:v>
      </x:c>
      <x:c r="R8" s="2"/>
      <x:c r="S8" s="2"/>
      <x:c r="T8" s="2"/>
      <x:c r="U8" s="2"/>
      <x:c r="V8" s="2"/>
      <x:c r="W8" s="2"/>
      <x:c r="X8" s="2"/>
      <x:c r="Y8" s="2"/>
      <x:c r="Z8" s="2"/>
    </x:row>
    <x:row r="9" ht="33" customHeight="1">
      <x:c r="A9" s="53" t="str">
        <x:v>RTA-1005</x:v>
      </x:c>
      <x:c r="B9" s="53" t="str">
        <x:v>Code Review UI</x:v>
      </x:c>
      <x:c r="C9" s="53" t="str">
        <x:v>Security</x:v>
      </x:c>
      <x:c r="D9" s="53" t="str">
        <x:v>Fang</x:v>
      </x:c>
      <x:c r="E9" s="53" t="str">
        <x:v>Done</x:v>
      </x:c>
      <x:c r="F9" s="53" t="str">
        <x:v>P2</x:v>
      </x:c>
      <x:c r="G9" s="168" t="n">
        <x:v>46123</x:v>
      </x:c>
      <x:c r="H9" s="168" t="n">
        <x:v>46133</x:v>
      </x:c>
      <x:c r="I9" s="53" t="n">
        <x:f>H9-TODAY()</x:f>
        <x:v>-10</x:v>
      </x:c>
      <x:c r="J9" s="170" t="n">
        <x:v>1</x:v>
      </x:c>
      <x:c r="K9" s="172" t="n">
        <x:v>37</x:v>
      </x:c>
      <x:c r="L9" s="172" t="n">
        <x:v>38.2</x:v>
      </x:c>
      <x:c r="M9" s="172" t="n">
        <x:f>MAX(0,K9-L9)</x:f>
        <x:v>0</x:v>
      </x:c>
      <x:c r="N9" s="53" t="n">
        <x:v>2</x:v>
      </x:c>
      <x:c r="O9" s="166" t="n">
        <x:f>K9*VLOOKUP(D9,'99_Config'!$A$4:$B$10,2,FALSE)</x:f>
        <x:v>5143</x:v>
      </x:c>
      <x:c r="P9" s="53" t="e">
        <x:f>HYPERLINK("https://example.com/tasks/"&amp;A9,"open")</x:f>
      </x:c>
      <x:c r="Q9" s="56" t="str">
        <x:v>中文说明 + long note for renderer wrapping. Card #5 touches Code Review UI, AC-005, and has evidence links.</x:v>
      </x:c>
      <x:c r="R9" s="2"/>
      <x:c r="S9" s="2"/>
      <x:c r="T9" s="2"/>
      <x:c r="U9" s="2"/>
      <x:c r="V9" s="2"/>
      <x:c r="W9" s="2"/>
      <x:c r="X9" s="2"/>
      <x:c r="Y9" s="2"/>
      <x:c r="Z9" s="2"/>
    </x:row>
    <x:row r="10" ht="33" customHeight="1">
      <x:c r="A10" s="53" t="str">
        <x:v>RTA-1006</x:v>
      </x:c>
      <x:c r="B10" s="53" t="str">
        <x:v>Validation Form</x:v>
      </x:c>
      <x:c r="C10" s="53" t="str">
        <x:v>Docs</x:v>
      </x:c>
      <x:c r="D10" s="53" t="str">
        <x:v>Gita</x:v>
      </x:c>
      <x:c r="E10" s="53" t="str">
        <x:v>Todo</x:v>
      </x:c>
      <x:c r="F10" s="53" t="str">
        <x:v>P3</x:v>
      </x:c>
      <x:c r="G10" s="168" t="n">
        <x:v>46125</x:v>
      </x:c>
      <x:c r="H10" s="168" t="n">
        <x:v>46136</x:v>
      </x:c>
      <x:c r="I10" s="53" t="n">
        <x:f>H10-TODAY()</x:f>
        <x:v>-7</x:v>
      </x:c>
      <x:c r="J10" s="170" t="n">
        <x:v>0.08117686777193903</x:v>
      </x:c>
      <x:c r="K10" s="172" t="n">
        <x:v>42</x:v>
      </x:c>
      <x:c r="L10" s="172" t="n">
        <x:v>1</x:v>
      </x:c>
      <x:c r="M10" s="172" t="n">
        <x:f>MAX(0,K10-L10)</x:f>
        <x:v>41</x:v>
      </x:c>
      <x:c r="N10" s="53" t="n">
        <x:v>4</x:v>
      </x:c>
      <x:c r="O10" s="166" t="n">
        <x:f>K10*VLOOKUP(D10,'99_Config'!$A$4:$B$10,2,FALSE)</x:f>
        <x:v>5376</x:v>
      </x:c>
      <x:c r="P10" s="53" t="e">
        <x:f>HYPERLINK("https://example.com/tasks/"&amp;A10,"open")</x:f>
      </x:c>
      <x:c r="Q10" s="56" t="str">
        <x:v>中文说明 + long note for renderer wrapping. Card #6 touches Validation Form, AC-006, and has evidence links.</x:v>
      </x:c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3" customHeight="1">
      <x:c r="A11" s="53" t="str">
        <x:v>RTA-1007</x:v>
      </x:c>
      <x:c r="B11" s="53" t="str">
        <x:v>Dashboard Canvas</x:v>
      </x:c>
      <x:c r="C11" s="53" t="str">
        <x:v>Ops</x:v>
      </x:c>
      <x:c r="D11" s="53" t="str">
        <x:v>Ada</x:v>
      </x:c>
      <x:c r="E11" s="53" t="str">
        <x:v>Done</x:v>
      </x:c>
      <x:c r="F11" s="53" t="str">
        <x:v>P0</x:v>
      </x:c>
      <x:c r="G11" s="168" t="n">
        <x:v>46127</x:v>
      </x:c>
      <x:c r="H11" s="168" t="n">
        <x:v>46139</x:v>
      </x:c>
      <x:c r="I11" s="53" t="n">
        <x:f>H11-TODAY()</x:f>
        <x:v>-4</x:v>
      </x:c>
      <x:c r="J11" s="170" t="n">
        <x:v>1</x:v>
      </x:c>
      <x:c r="K11" s="172" t="n">
        <x:v>47</x:v>
      </x:c>
      <x:c r="L11" s="172" t="n">
        <x:v>53.3</x:v>
      </x:c>
      <x:c r="M11" s="172" t="n">
        <x:f>MAX(0,K11-L11)</x:f>
        <x:v>0</x:v>
      </x:c>
      <x:c r="N11" s="53" t="n">
        <x:v>3</x:v>
      </x:c>
      <x:c r="O11" s="166" t="n">
        <x:f>K11*VLOOKUP(D11,'99_Config'!$A$4:$B$10,2,FALSE)</x:f>
        <x:v>6815</x:v>
      </x:c>
      <x:c r="P11" s="53" t="e">
        <x:f>HYPERLINK("https://example.com/tasks/"&amp;A11,"open")</x:f>
      </x:c>
      <x:c r="Q11" s="56" t="str">
        <x:v>中文说明 + long note for renderer wrapping. Card #7 touches Dashboard Canvas, AC-007, and has evidence links.</x:v>
      </x:c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3" customHeight="1">
      <x:c r="A12" s="53" t="str">
        <x:v>RTA-1008</x:v>
      </x:c>
      <x:c r="B12" s="53" t="str">
        <x:v>Kanban Harness</x:v>
      </x:c>
      <x:c r="C12" s="53" t="str">
        <x:v>API</x:v>
      </x:c>
      <x:c r="D12" s="53" t="str">
        <x:v>Ben</x:v>
      </x:c>
      <x:c r="E12" s="53" t="str">
        <x:v>Dev</x:v>
      </x:c>
      <x:c r="F12" s="53" t="str">
        <x:v>P1</x:v>
      </x:c>
      <x:c r="G12" s="168" t="n">
        <x:v>46129</x:v>
      </x:c>
      <x:c r="H12" s="168" t="n">
        <x:v>46142</x:v>
      </x:c>
      <x:c r="I12" s="53" t="n">
        <x:f>H12-TODAY()</x:f>
        <x:v>-1</x:v>
      </x:c>
      <x:c r="J12" s="170" t="n">
        <x:v>0.3898083137839433</x:v>
      </x:c>
      <x:c r="K12" s="172" t="n">
        <x:v>52</x:v>
      </x:c>
      <x:c r="L12" s="172" t="n">
        <x:v>19.1</x:v>
      </x:c>
      <x:c r="M12" s="172" t="n">
        <x:f>MAX(0,K12-L12)</x:f>
        <x:v>32.9</x:v>
      </x:c>
      <x:c r="N12" s="53" t="n">
        <x:v>4</x:v>
      </x:c>
      <x:c r="O12" s="166" t="n">
        <x:f>K12*VLOOKUP(D12,'99_Config'!$A$4:$B$10,2,FALSE)</x:f>
        <x:v>6864</x:v>
      </x:c>
      <x:c r="P12" s="53" t="e">
        <x:f>HYPERLINK("https://example.com/tasks/"&amp;A12,"open")</x:f>
      </x:c>
      <x:c r="Q12" s="56" t="str">
        <x:v>中文说明 + long note for renderer wrapping. Card #8 touches Kanban Harness, AC-008, and has evidence links.</x:v>
      </x:c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3" customHeight="1">
      <x:c r="A13" s="53" t="str">
        <x:v>RTA-1009</x:v>
      </x:c>
      <x:c r="B13" s="53" t="str">
        <x:v>Feature Explorer</x:v>
      </x:c>
      <x:c r="C13" s="53" t="str">
        <x:v>UI</x:v>
      </x:c>
      <x:c r="D13" s="53" t="str">
        <x:v>Chen</x:v>
      </x:c>
      <x:c r="E13" s="53" t="str">
        <x:v>Blocked</x:v>
      </x:c>
      <x:c r="F13" s="53" t="str">
        <x:v>P2</x:v>
      </x:c>
      <x:c r="G13" s="168" t="n">
        <x:v>46131</x:v>
      </x:c>
      <x:c r="H13" s="168" t="n">
        <x:v>46145</x:v>
      </x:c>
      <x:c r="I13" s="53" t="n">
        <x:f>H13-TODAY()</x:f>
        <x:v>2</x:v>
      </x:c>
      <x:c r="J13" s="170" t="n">
        <x:v>0.3703893155848943</x:v>
      </x:c>
      <x:c r="K13" s="172" t="n">
        <x:v>57</x:v>
      </x:c>
      <x:c r="L13" s="172" t="n">
        <x:v>30.6</x:v>
      </x:c>
      <x:c r="M13" s="172" t="n">
        <x:f>MAX(0,K13-L13)</x:f>
        <x:v>26.4</x:v>
      </x:c>
      <x:c r="N13" s="53" t="n">
        <x:v>4</x:v>
      </x:c>
      <x:c r="O13" s="166" t="n">
        <x:f>K13*VLOOKUP(D13,'99_Config'!$A$4:$B$10,2,FALSE)</x:f>
        <x:v>6726</x:v>
      </x:c>
      <x:c r="P13" s="53" t="e">
        <x:f>HYPERLINK("https://example.com/tasks/"&amp;A13,"open")</x:f>
      </x:c>
      <x:c r="Q13" s="56" t="str">
        <x:v>中文说明 + long note for renderer wrapping. Card #9 touches Feature Explorer, AC-009, and has evidence links.</x:v>
      </x:c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3" customHeight="1">
      <x:c r="A14" s="53" t="str">
        <x:v>RTA-1010</x:v>
      </x:c>
      <x:c r="B14" s="53" t="str">
        <x:v>Task-Adaptive Harness</x:v>
      </x:c>
      <x:c r="C14" s="53" t="str">
        <x:v>Harness</x:v>
      </x:c>
      <x:c r="D14" s="53" t="str">
        <x:v>Dina</x:v>
      </x:c>
      <x:c r="E14" s="53" t="str">
        <x:v>Dev</x:v>
      </x:c>
      <x:c r="F14" s="53" t="str">
        <x:v>P0</x:v>
      </x:c>
      <x:c r="G14" s="168" t="n">
        <x:v>46133</x:v>
      </x:c>
      <x:c r="H14" s="168" t="n">
        <x:v>46148</x:v>
      </x:c>
      <x:c r="I14" s="53" t="n">
        <x:f>H14-TODAY()</x:f>
        <x:v>5</x:v>
      </x:c>
      <x:c r="J14" s="170" t="n">
        <x:v>0.4623364717787998</x:v>
      </x:c>
      <x:c r="K14" s="172" t="n">
        <x:v>62</x:v>
      </x:c>
      <x:c r="L14" s="172" t="n">
        <x:v>30.1</x:v>
      </x:c>
      <x:c r="M14" s="172" t="n">
        <x:f>MAX(0,K14-L14)</x:f>
        <x:v>31.9</x:v>
      </x:c>
      <x:c r="N14" s="53" t="n">
        <x:v>4</x:v>
      </x:c>
      <x:c r="O14" s="166" t="n">
        <x:f>K14*VLOOKUP(D14,'99_Config'!$A$4:$B$10,2,FALSE)</x:f>
        <x:v>9672</x:v>
      </x:c>
      <x:c r="P14" s="53" t="e">
        <x:f>HYPERLINK("https://example.com/tasks/"&amp;A14,"open")</x:f>
      </x:c>
      <x:c r="Q14" s="56" t="str">
        <x:v>中文说明 + long note for renderer wrapping. Card #10 touches Task-Adaptive Harness, AC-010, and has evidence links.</x:v>
      </x:c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3" customHeight="1">
      <x:c r="A15" s="53" t="str">
        <x:v>RTA-1011</x:v>
      </x:c>
      <x:c r="B15" s="53" t="str">
        <x:v>Entrix Fitness</x:v>
      </x:c>
      <x:c r="C15" s="53" t="str">
        <x:v>Agent</x:v>
      </x:c>
      <x:c r="D15" s="53" t="str">
        <x:v>Eli</x:v>
      </x:c>
      <x:c r="E15" s="53" t="str">
        <x:v>Blocked</x:v>
      </x:c>
      <x:c r="F15" s="53" t="str">
        <x:v>P1</x:v>
      </x:c>
      <x:c r="G15" s="168" t="n">
        <x:v>46135</x:v>
      </x:c>
      <x:c r="H15" s="168" t="n">
        <x:v>46151</x:v>
      </x:c>
      <x:c r="I15" s="53" t="n">
        <x:f>H15-TODAY()</x:f>
        <x:v>8</x:v>
      </x:c>
      <x:c r="J15" s="170" t="n">
        <x:v>0.42620081689486716</x:v>
      </x:c>
      <x:c r="K15" s="172" t="n">
        <x:v>13</x:v>
      </x:c>
      <x:c r="L15" s="172" t="n">
        <x:v>4.7</x:v>
      </x:c>
      <x:c r="M15" s="172" t="n">
        <x:f>MAX(0,K15-L15)</x:f>
        <x:v>8.3</x:v>
      </x:c>
      <x:c r="N15" s="53" t="n">
        <x:v>5</x:v>
      </x:c>
      <x:c r="O15" s="166" t="n">
        <x:f>K15*VLOOKUP(D15,'99_Config'!$A$4:$B$10,2,FALSE)</x:f>
        <x:v>1612</x:v>
      </x:c>
      <x:c r="P15" s="53" t="e">
        <x:f>HYPERLINK("https://example.com/tasks/"&amp;A15,"open")</x:f>
      </x:c>
      <x:c r="Q15" s="56" t="str">
        <x:v>中文说明 + long note for renderer wrapping. Card #11 touches Entrix Fitness, AC-011, and has evidence links.</x:v>
      </x:c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3" customHeight="1">
      <x:c r="A16" s="53" t="str">
        <x:v>RTA-1012</x:v>
      </x:c>
      <x:c r="B16" s="53" t="str">
        <x:v>Agent Trace Learning</x:v>
      </x:c>
      <x:c r="C16" s="53" t="str">
        <x:v>Data</x:v>
      </x:c>
      <x:c r="D16" s="53" t="str">
        <x:v>Fang</x:v>
      </x:c>
      <x:c r="E16" s="53" t="str">
        <x:v>Review</x:v>
      </x:c>
      <x:c r="F16" s="53" t="str">
        <x:v>P2</x:v>
      </x:c>
      <x:c r="G16" s="168" t="n">
        <x:v>46137</x:v>
      </x:c>
      <x:c r="H16" s="168" t="n">
        <x:v>46154</x:v>
      </x:c>
      <x:c r="I16" s="53" t="n">
        <x:f>H16-TODAY()</x:f>
        <x:v>11</x:v>
      </x:c>
      <x:c r="J16" s="170" t="n">
        <x:v>0.8073549534477887</x:v>
      </x:c>
      <x:c r="K16" s="172" t="n">
        <x:v>18</x:v>
      </x:c>
      <x:c r="L16" s="172" t="n">
        <x:v>14.4</x:v>
      </x:c>
      <x:c r="M16" s="172" t="n">
        <x:f>MAX(0,K16-L16)</x:f>
        <x:v>3.5999999999999996</x:v>
      </x:c>
      <x:c r="N16" s="53" t="n">
        <x:v>2</x:v>
      </x:c>
      <x:c r="O16" s="166" t="n">
        <x:f>K16*VLOOKUP(D16,'99_Config'!$A$4:$B$10,2,FALSE)</x:f>
        <x:v>2502</x:v>
      </x:c>
      <x:c r="P16" s="53" t="e">
        <x:f>HYPERLINK("https://example.com/tasks/"&amp;A16,"open")</x:f>
      </x:c>
      <x:c r="Q16" s="56" t="str">
        <x:v>中文说明 + long note for renderer wrapping. Card #12 touches Agent Trace Learning, AC-012, and has evidence links.</x:v>
      </x:c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3" customHeight="1">
      <x:c r="A17" s="53" t="str">
        <x:v>RTA-1013</x:v>
      </x:c>
      <x:c r="B17" s="53" t="str">
        <x:v>Code Review UI</x:v>
      </x:c>
      <x:c r="C17" s="53" t="str">
        <x:v>Security</x:v>
      </x:c>
      <x:c r="D17" s="53" t="str">
        <x:v>Gita</x:v>
      </x:c>
      <x:c r="E17" s="53" t="str">
        <x:v>Backlog</x:v>
      </x:c>
      <x:c r="F17" s="53" t="str">
        <x:v>P3</x:v>
      </x:c>
      <x:c r="G17" s="168" t="n">
        <x:v>46139</x:v>
      </x:c>
      <x:c r="H17" s="168" t="n">
        <x:v>46157</x:v>
      </x:c>
      <x:c r="I17" s="53" t="n">
        <x:f>H17-TODAY()</x:f>
        <x:v>14</x:v>
      </x:c>
      <x:c r="J17" s="170" t="n">
        <x:v>0</x:v>
      </x:c>
      <x:c r="K17" s="172" t="n">
        <x:v>23</x:v>
      </x:c>
      <x:c r="L17" s="172" t="n">
        <x:v>-1.1</x:v>
      </x:c>
      <x:c r="M17" s="172" t="n">
        <x:f>MAX(0,K17-L17)</x:f>
        <x:v>24.1</x:v>
      </x:c>
      <x:c r="N17" s="53" t="n">
        <x:v>5</x:v>
      </x:c>
      <x:c r="O17" s="166" t="n">
        <x:f>K17*VLOOKUP(D17,'99_Config'!$A$4:$B$10,2,FALSE)</x:f>
        <x:v>2944</x:v>
      </x:c>
      <x:c r="P17" s="53" t="e">
        <x:f>HYPERLINK("https://example.com/tasks/"&amp;A17,"open")</x:f>
      </x:c>
      <x:c r="Q17" s="56" t="str">
        <x:v>中文说明 + long note for renderer wrapping. Card #13 touches Code Review UI, AC-013, and has evidence links.</x:v>
      </x:c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3" customHeight="1">
      <x:c r="A18" s="53" t="str">
        <x:v>RTA-1014</x:v>
      </x:c>
      <x:c r="B18" s="53" t="str">
        <x:v>Validation Form</x:v>
      </x:c>
      <x:c r="C18" s="53" t="str">
        <x:v>Docs</x:v>
      </x:c>
      <x:c r="D18" s="53" t="str">
        <x:v>Ada</x:v>
      </x:c>
      <x:c r="E18" s="53" t="str">
        <x:v>Review</x:v>
      </x:c>
      <x:c r="F18" s="53" t="str">
        <x:v>P0</x:v>
      </x:c>
      <x:c r="G18" s="168" t="n">
        <x:v>46141</x:v>
      </x:c>
      <x:c r="H18" s="168" t="n">
        <x:v>46146</x:v>
      </x:c>
      <x:c r="I18" s="53" t="n">
        <x:f>H18-TODAY()</x:f>
        <x:v>3</x:v>
      </x:c>
      <x:c r="J18" s="170" t="n">
        <x:v>0.7193570918563095</x:v>
      </x:c>
      <x:c r="K18" s="172" t="n">
        <x:v>28</x:v>
      </x:c>
      <x:c r="L18" s="172" t="n">
        <x:v>23.8</x:v>
      </x:c>
      <x:c r="M18" s="172" t="n">
        <x:f>MAX(0,K18-L18)</x:f>
        <x:v>4.199999999999999</x:v>
      </x:c>
      <x:c r="N18" s="53" t="n">
        <x:v>3</x:v>
      </x:c>
      <x:c r="O18" s="166" t="n">
        <x:f>K18*VLOOKUP(D18,'99_Config'!$A$4:$B$10,2,FALSE)</x:f>
        <x:v>4060</x:v>
      </x:c>
      <x:c r="P18" s="53" t="e">
        <x:f>HYPERLINK("https://example.com/tasks/"&amp;A18,"open")</x:f>
      </x:c>
      <x:c r="Q18" s="56" t="str">
        <x:v>中文说明 + long note for renderer wrapping. Card #14 touches Validation Form, AC-014, and has evidence links.</x:v>
      </x:c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3" customHeight="1">
      <x:c r="A19" s="53" t="str">
        <x:v>RTA-1015</x:v>
      </x:c>
      <x:c r="B19" s="53" t="str">
        <x:v>Dashboard Canvas</x:v>
      </x:c>
      <x:c r="C19" s="53" t="str">
        <x:v>Ops</x:v>
      </x:c>
      <x:c r="D19" s="53" t="str">
        <x:v>Ben</x:v>
      </x:c>
      <x:c r="E19" s="53" t="str">
        <x:v>Backlog</x:v>
      </x:c>
      <x:c r="F19" s="53" t="str">
        <x:v>P2</x:v>
      </x:c>
      <x:c r="G19" s="168" t="n">
        <x:v>46143</x:v>
      </x:c>
      <x:c r="H19" s="168" t="n">
        <x:v>46149</x:v>
      </x:c>
      <x:c r="I19" s="53" t="n">
        <x:f>H19-TODAY()</x:f>
        <x:v>6</x:v>
      </x:c>
      <x:c r="J19" s="170" t="n">
        <x:v>0</x:v>
      </x:c>
      <x:c r="K19" s="172" t="n">
        <x:v>33</x:v>
      </x:c>
      <x:c r="L19" s="172" t="n">
        <x:v>2.4</x:v>
      </x:c>
      <x:c r="M19" s="172" t="n">
        <x:f>MAX(0,K19-L19)</x:f>
        <x:v>30.6</x:v>
      </x:c>
      <x:c r="N19" s="53" t="n">
        <x:v>5</x:v>
      </x:c>
      <x:c r="O19" s="166" t="n">
        <x:f>K19*VLOOKUP(D19,'99_Config'!$A$4:$B$10,2,FALSE)</x:f>
        <x:v>4356</x:v>
      </x:c>
      <x:c r="P19" s="53" t="e">
        <x:f>HYPERLINK("https://example.com/tasks/"&amp;A19,"open")</x:f>
      </x:c>
      <x:c r="Q19" s="56" t="str">
        <x:v>中文说明 + long note for renderer wrapping. Card #15 touches Dashboard Canvas, AC-015, and has evidence links.</x:v>
      </x:c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3" customHeight="1">
      <x:c r="A20" s="53" t="str">
        <x:v>RTA-1016</x:v>
      </x:c>
      <x:c r="B20" s="53" t="str">
        <x:v>Kanban Harness</x:v>
      </x:c>
      <x:c r="C20" s="53" t="str">
        <x:v>API</x:v>
      </x:c>
      <x:c r="D20" s="53" t="str">
        <x:v>Chen</x:v>
      </x:c>
      <x:c r="E20" s="53" t="str">
        <x:v>Done</x:v>
      </x:c>
      <x:c r="F20" s="53" t="str">
        <x:v>P3</x:v>
      </x:c>
      <x:c r="G20" s="168" t="n">
        <x:v>46145</x:v>
      </x:c>
      <x:c r="H20" s="168" t="n">
        <x:v>46152</x:v>
      </x:c>
      <x:c r="I20" s="53" t="n">
        <x:f>H20-TODAY()</x:f>
        <x:v>9</x:v>
      </x:c>
      <x:c r="J20" s="170" t="n">
        <x:v>1</x:v>
      </x:c>
      <x:c r="K20" s="172" t="n">
        <x:v>38</x:v>
      </x:c>
      <x:c r="L20" s="172" t="n">
        <x:v>38.6</x:v>
      </x:c>
      <x:c r="M20" s="172" t="n">
        <x:f>MAX(0,K20-L20)</x:f>
        <x:v>0</x:v>
      </x:c>
      <x:c r="N20" s="53" t="n">
        <x:v>2</x:v>
      </x:c>
      <x:c r="O20" s="166" t="n">
        <x:f>K20*VLOOKUP(D20,'99_Config'!$A$4:$B$10,2,FALSE)</x:f>
        <x:v>4484</x:v>
      </x:c>
      <x:c r="P20" s="53" t="e">
        <x:f>HYPERLINK("https://example.com/tasks/"&amp;A20,"open")</x:f>
      </x:c>
      <x:c r="Q20" s="56" t="str">
        <x:v>中文说明 + long note for renderer wrapping. Card #16 touches Kanban Harness, AC-016, and has evidence links.</x:v>
      </x:c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3" customHeight="1">
      <x:c r="A21" s="53" t="str">
        <x:v>RTA-1017</x:v>
      </x:c>
      <x:c r="B21" s="53" t="str">
        <x:v>Feature Explorer</x:v>
      </x:c>
      <x:c r="C21" s="53" t="str">
        <x:v>UI</x:v>
      </x:c>
      <x:c r="D21" s="53" t="str">
        <x:v>Dina</x:v>
      </x:c>
      <x:c r="E21" s="53" t="str">
        <x:v>Todo</x:v>
      </x:c>
      <x:c r="F21" s="53" t="str">
        <x:v>P0</x:v>
      </x:c>
      <x:c r="G21" s="168" t="n">
        <x:v>46147</x:v>
      </x:c>
      <x:c r="H21" s="168" t="n">
        <x:v>46155</x:v>
      </x:c>
      <x:c r="I21" s="53" t="n">
        <x:f>H21-TODAY()</x:f>
        <x:v>12</x:v>
      </x:c>
      <x:c r="J21" s="170" t="n">
        <x:v>0.15763911451352924</x:v>
      </x:c>
      <x:c r="K21" s="172" t="n">
        <x:v>43</x:v>
      </x:c>
      <x:c r="L21" s="172" t="n">
        <x:v>4</x:v>
      </x:c>
      <x:c r="M21" s="172" t="n">
        <x:f>MAX(0,K21-L21)</x:f>
        <x:v>39</x:v>
      </x:c>
      <x:c r="N21" s="53" t="n">
        <x:v>5</x:v>
      </x:c>
      <x:c r="O21" s="166" t="n">
        <x:f>K21*VLOOKUP(D21,'99_Config'!$A$4:$B$10,2,FALSE)</x:f>
        <x:v>6708</x:v>
      </x:c>
      <x:c r="P21" s="53" t="e">
        <x:f>HYPERLINK("https://example.com/tasks/"&amp;A21,"open")</x:f>
      </x:c>
      <x:c r="Q21" s="56" t="str">
        <x:v>中文说明 + long note for renderer wrapping. Card #17 touches Feature Explorer, AC-017, and has evidence links.</x:v>
      </x:c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3" customHeight="1">
      <x:c r="A22" s="53" t="str">
        <x:v>RTA-1018</x:v>
      </x:c>
      <x:c r="B22" s="53" t="str">
        <x:v>Task-Adaptive Harness</x:v>
      </x:c>
      <x:c r="C22" s="53" t="str">
        <x:v>Harness</x:v>
      </x:c>
      <x:c r="D22" s="53" t="str">
        <x:v>Eli</x:v>
      </x:c>
      <x:c r="E22" s="53" t="str">
        <x:v>Done</x:v>
      </x:c>
      <x:c r="F22" s="53" t="str">
        <x:v>P1</x:v>
      </x:c>
      <x:c r="G22" s="168" t="n">
        <x:v>46149</x:v>
      </x:c>
      <x:c r="H22" s="168" t="n">
        <x:v>46158</x:v>
      </x:c>
      <x:c r="I22" s="53" t="n">
        <x:f>H22-TODAY()</x:f>
        <x:v>15</x:v>
      </x:c>
      <x:c r="J22" s="170" t="n">
        <x:v>1</x:v>
      </x:c>
      <x:c r="K22" s="172" t="n">
        <x:v>48</x:v>
      </x:c>
      <x:c r="L22" s="172" t="n">
        <x:v>46.7</x:v>
      </x:c>
      <x:c r="M22" s="172" t="n">
        <x:f>MAX(0,K22-L22)</x:f>
        <x:v>1.2999999999999972</x:v>
      </x:c>
      <x:c r="N22" s="53" t="n">
        <x:v>3</x:v>
      </x:c>
      <x:c r="O22" s="166" t="n">
        <x:f>K22*VLOOKUP(D22,'99_Config'!$A$4:$B$10,2,FALSE)</x:f>
        <x:v>5952</x:v>
      </x:c>
      <x:c r="P22" s="53" t="e">
        <x:f>HYPERLINK("https://example.com/tasks/"&amp;A22,"open")</x:f>
      </x:c>
      <x:c r="Q22" s="56" t="str">
        <x:v>中文说明 + long note for renderer wrapping. Card #18 touches Task-Adaptive Harness, AC-018, and has evidence links.</x:v>
      </x:c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3" customHeight="1">
      <x:c r="A23" s="53" t="str">
        <x:v>RTA-1019</x:v>
      </x:c>
      <x:c r="B23" s="53" t="str">
        <x:v>Entrix Fitness</x:v>
      </x:c>
      <x:c r="C23" s="53" t="str">
        <x:v>Agent</x:v>
      </x:c>
      <x:c r="D23" s="53" t="str">
        <x:v>Fang</x:v>
      </x:c>
      <x:c r="E23" s="53" t="str">
        <x:v>Todo</x:v>
      </x:c>
      <x:c r="F23" s="53" t="str">
        <x:v>P2</x:v>
      </x:c>
      <x:c r="G23" s="168" t="n">
        <x:v>46114</x:v>
      </x:c>
      <x:c r="H23" s="168" t="n">
        <x:v>46124</x:v>
      </x:c>
      <x:c r="I23" s="53" t="n">
        <x:f>H23-TODAY()</x:f>
        <x:v>-19</x:v>
      </x:c>
      <x:c r="J23" s="170" t="n">
        <x:v>0.17886399570908573</x:v>
      </x:c>
      <x:c r="K23" s="172" t="n">
        <x:v>53</x:v>
      </x:c>
      <x:c r="L23" s="172" t="n">
        <x:v>11.1</x:v>
      </x:c>
      <x:c r="M23" s="172" t="n">
        <x:f>MAX(0,K23-L23)</x:f>
        <x:v>41.9</x:v>
      </x:c>
      <x:c r="N23" s="53" t="n">
        <x:v>4</x:v>
      </x:c>
      <x:c r="O23" s="166" t="n">
        <x:f>K23*VLOOKUP(D23,'99_Config'!$A$4:$B$10,2,FALSE)</x:f>
        <x:v>7367</x:v>
      </x:c>
      <x:c r="P23" s="53" t="e">
        <x:f>HYPERLINK("https://example.com/tasks/"&amp;A23,"open")</x:f>
      </x:c>
      <x:c r="Q23" s="56" t="str">
        <x:v>中文说明 + long note for renderer wrapping. Card #19 touches Entrix Fitness, AC-019, and has evidence links.</x:v>
      </x:c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3" customHeight="1">
      <x:c r="A24" s="53" t="str">
        <x:v>RTA-1020</x:v>
      </x:c>
      <x:c r="B24" s="53" t="str">
        <x:v>Agent Trace Learning</x:v>
      </x:c>
      <x:c r="C24" s="53" t="str">
        <x:v>Data</x:v>
      </x:c>
      <x:c r="D24" s="53" t="str">
        <x:v>Gita</x:v>
      </x:c>
      <x:c r="E24" s="53" t="str">
        <x:v>Blocked</x:v>
      </x:c>
      <x:c r="F24" s="53" t="str">
        <x:v>P0</x:v>
      </x:c>
      <x:c r="G24" s="168" t="n">
        <x:v>46116</x:v>
      </x:c>
      <x:c r="H24" s="168" t="n">
        <x:v>46127</x:v>
      </x:c>
      <x:c r="I24" s="53" t="n">
        <x:f>H24-TODAY()</x:f>
        <x:v>-16</x:v>
      </x:c>
      <x:c r="J24" s="170" t="n">
        <x:v>0.3202635472602866</x:v>
      </x:c>
      <x:c r="K24" s="172" t="n">
        <x:v>58</x:v>
      </x:c>
      <x:c r="L24" s="172" t="n">
        <x:v>22.8</x:v>
      </x:c>
      <x:c r="M24" s="172" t="n">
        <x:f>MAX(0,K24-L24)</x:f>
        <x:v>35.2</x:v>
      </x:c>
      <x:c r="N24" s="53" t="n">
        <x:v>5</x:v>
      </x:c>
      <x:c r="O24" s="166" t="n">
        <x:f>K24*VLOOKUP(D24,'99_Config'!$A$4:$B$10,2,FALSE)</x:f>
        <x:v>7424</x:v>
      </x:c>
      <x:c r="P24" s="53" t="e">
        <x:f>HYPERLINK("https://example.com/tasks/"&amp;A24,"open")</x:f>
      </x:c>
      <x:c r="Q24" s="56" t="str">
        <x:v>中文说明 + long note for renderer wrapping. Card #20 touches Agent Trace Learning, AC-020, and has evidence links.</x:v>
      </x:c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3" customHeight="1">
      <x:c r="A25" s="53" t="str">
        <x:v>RTA-1021</x:v>
      </x:c>
      <x:c r="B25" s="53" t="str">
        <x:v>Code Review UI</x:v>
      </x:c>
      <x:c r="C25" s="53" t="str">
        <x:v>Security</x:v>
      </x:c>
      <x:c r="D25" s="53" t="str">
        <x:v>Ada</x:v>
      </x:c>
      <x:c r="E25" s="53" t="str">
        <x:v>Dev</x:v>
      </x:c>
      <x:c r="F25" s="53" t="str">
        <x:v>P1</x:v>
      </x:c>
      <x:c r="G25" s="168" t="n">
        <x:v>46118</x:v>
      </x:c>
      <x:c r="H25" s="168" t="n">
        <x:v>46130</x:v>
      </x:c>
      <x:c r="I25" s="53" t="n">
        <x:f>H25-TODAY()</x:f>
        <x:v>-13</x:v>
      </x:c>
      <x:c r="J25" s="170" t="n">
        <x:v>0.44250950021932406</x:v>
      </x:c>
      <x:c r="K25" s="172" t="n">
        <x:v>63</x:v>
      </x:c>
      <x:c r="L25" s="172" t="n">
        <x:v>27.7</x:v>
      </x:c>
      <x:c r="M25" s="172" t="n">
        <x:f>MAX(0,K25-L25)</x:f>
        <x:v>35.3</x:v>
      </x:c>
      <x:c r="N25" s="53" t="n">
        <x:v>4</x:v>
      </x:c>
      <x:c r="O25" s="166" t="n">
        <x:f>K25*VLOOKUP(D25,'99_Config'!$A$4:$B$10,2,FALSE)</x:f>
        <x:v>9135</x:v>
      </x:c>
      <x:c r="P25" s="53" t="e">
        <x:f>HYPERLINK("https://example.com/tasks/"&amp;A25,"open")</x:f>
      </x:c>
      <x:c r="Q25" s="56" t="str">
        <x:v>中文说明 + long note for renderer wrapping. Card #21 touches Code Review UI, AC-021, and has evidence links.</x:v>
      </x:c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3" customHeight="1">
      <x:c r="A26" s="53" t="str">
        <x:v>RTA-1022</x:v>
      </x:c>
      <x:c r="B26" s="53" t="str">
        <x:v>Validation Form</x:v>
      </x:c>
      <x:c r="C26" s="53" t="str">
        <x:v>Docs</x:v>
      </x:c>
      <x:c r="D26" s="53" t="str">
        <x:v>Ben</x:v>
      </x:c>
      <x:c r="E26" s="53" t="str">
        <x:v>Blocked</x:v>
      </x:c>
      <x:c r="F26" s="53" t="str">
        <x:v>P2</x:v>
      </x:c>
      <x:c r="G26" s="168" t="n">
        <x:v>46120</x:v>
      </x:c>
      <x:c r="H26" s="168" t="n">
        <x:v>46133</x:v>
      </x:c>
      <x:c r="I26" s="53" t="n">
        <x:f>H26-TODAY()</x:f>
        <x:v>-10</x:v>
      </x:c>
      <x:c r="J26" s="170" t="n">
        <x:v>0.39710071704359856</x:v>
      </x:c>
      <x:c r="K26" s="172" t="n">
        <x:v>14</x:v>
      </x:c>
      <x:c r="L26" s="172" t="n">
        <x:v>7</x:v>
      </x:c>
      <x:c r="M26" s="172" t="n">
        <x:f>MAX(0,K26-L26)</x:f>
        <x:v>7</x:v>
      </x:c>
      <x:c r="N26" s="53" t="n">
        <x:v>4</x:v>
      </x:c>
      <x:c r="O26" s="166" t="n">
        <x:f>K26*VLOOKUP(D26,'99_Config'!$A$4:$B$10,2,FALSE)</x:f>
        <x:v>1848</x:v>
      </x:c>
      <x:c r="P26" s="53" t="e">
        <x:f>HYPERLINK("https://example.com/tasks/"&amp;A26,"open")</x:f>
      </x:c>
      <x:c r="Q26" s="56" t="str">
        <x:v>中文说明 + long note for renderer wrapping. Card #22 touches Validation Form, AC-022, and has evidence links.</x:v>
      </x:c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3" customHeight="1">
      <x:c r="A27" s="53" t="str">
        <x:v>RTA-1023</x:v>
      </x:c>
      <x:c r="B27" s="53" t="str">
        <x:v>Dashboard Canvas</x:v>
      </x:c>
      <x:c r="C27" s="53" t="str">
        <x:v>Ops</x:v>
      </x:c>
      <x:c r="D27" s="53" t="str">
        <x:v>Chen</x:v>
      </x:c>
      <x:c r="E27" s="53" t="str">
        <x:v>Dev</x:v>
      </x:c>
      <x:c r="F27" s="53" t="str">
        <x:v>P3</x:v>
      </x:c>
      <x:c r="G27" s="168" t="n">
        <x:v>46122</x:v>
      </x:c>
      <x:c r="H27" s="168" t="n">
        <x:v>46136</x:v>
      </x:c>
      <x:c r="I27" s="53" t="n">
        <x:f>H27-TODAY()</x:f>
        <x:v>-7</x:v>
      </x:c>
      <x:c r="J27" s="170" t="n">
        <x:v>0.4090554417155445</x:v>
      </x:c>
      <x:c r="K27" s="172" t="n">
        <x:v>19</x:v>
      </x:c>
      <x:c r="L27" s="172" t="n">
        <x:v>9.1</x:v>
      </x:c>
      <x:c r="M27" s="172" t="n">
        <x:f>MAX(0,K27-L27)</x:f>
        <x:v>9.9</x:v>
      </x:c>
      <x:c r="N27" s="53" t="n">
        <x:v>3</x:v>
      </x:c>
      <x:c r="O27" s="166" t="n">
        <x:f>K27*VLOOKUP(D27,'99_Config'!$A$4:$B$10,2,FALSE)</x:f>
        <x:v>2242</x:v>
      </x:c>
      <x:c r="P27" s="53" t="e">
        <x:f>HYPERLINK("https://example.com/tasks/"&amp;A27,"open")</x:f>
      </x:c>
      <x:c r="Q27" s="56" t="str">
        <x:v>中文说明 + long note for renderer wrapping. Card #23 touches Dashboard Canvas, AC-023, and has evidence links.</x:v>
      </x:c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3" customHeight="1">
      <x:c r="A28" s="53" t="str">
        <x:v>RTA-1024</x:v>
      </x:c>
      <x:c r="B28" s="53" t="str">
        <x:v>Kanban Harness</x:v>
      </x:c>
      <x:c r="C28" s="53" t="str">
        <x:v>API</x:v>
      </x:c>
      <x:c r="D28" s="53" t="str">
        <x:v>Dina</x:v>
      </x:c>
      <x:c r="E28" s="53" t="str">
        <x:v>Backlog</x:v>
      </x:c>
      <x:c r="F28" s="53" t="str">
        <x:v>P0</x:v>
      </x:c>
      <x:c r="G28" s="168" t="n">
        <x:v>46124</x:v>
      </x:c>
      <x:c r="H28" s="168" t="n">
        <x:v>46139</x:v>
      </x:c>
      <x:c r="I28" s="53" t="n">
        <x:f>H28-TODAY()</x:f>
        <x:v>-4</x:v>
      </x:c>
      <x:c r="J28" s="170" t="n">
        <x:v>0.05403144060983224</x:v>
      </x:c>
      <x:c r="K28" s="172" t="n">
        <x:v>24</x:v>
      </x:c>
      <x:c r="L28" s="172" t="n">
        <x:v>4.8</x:v>
      </x:c>
      <x:c r="M28" s="172" t="n">
        <x:f>MAX(0,K28-L28)</x:f>
        <x:v>19.2</x:v>
      </x:c>
      <x:c r="N28" s="53" t="n">
        <x:v>5</x:v>
      </x:c>
      <x:c r="O28" s="166" t="n">
        <x:f>K28*VLOOKUP(D28,'99_Config'!$A$4:$B$10,2,FALSE)</x:f>
        <x:v>3744</x:v>
      </x:c>
      <x:c r="P28" s="53" t="e">
        <x:f>HYPERLINK("https://example.com/tasks/"&amp;A28,"open")</x:f>
      </x:c>
      <x:c r="Q28" s="56" t="str">
        <x:v>中文说明 + long note for renderer wrapping. Card #24 touches Kanban Harness, AC-024, and has evidence links.</x:v>
      </x:c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3" customHeight="1">
      <x:c r="A29" s="53" t="str">
        <x:v>RTA-1025</x:v>
      </x:c>
      <x:c r="B29" s="53" t="str">
        <x:v>Feature Explorer</x:v>
      </x:c>
      <x:c r="C29" s="53" t="str">
        <x:v>UI</x:v>
      </x:c>
      <x:c r="D29" s="53" t="str">
        <x:v>Eli</x:v>
      </x:c>
      <x:c r="E29" s="53" t="str">
        <x:v>Review</x:v>
      </x:c>
      <x:c r="F29" s="53" t="str">
        <x:v>P2</x:v>
      </x:c>
      <x:c r="G29" s="168" t="n">
        <x:v>46126</x:v>
      </x:c>
      <x:c r="H29" s="168" t="n">
        <x:v>46142</x:v>
      </x:c>
      <x:c r="I29" s="53" t="n">
        <x:f>H29-TODAY()</x:f>
        <x:v>-1</x:v>
      </x:c>
      <x:c r="J29" s="170" t="n">
        <x:v>0.7867112463102748</x:v>
      </x:c>
      <x:c r="K29" s="172" t="n">
        <x:v>29</x:v>
      </x:c>
      <x:c r="L29" s="172" t="n">
        <x:v>22.7</x:v>
      </x:c>
      <x:c r="M29" s="172" t="n">
        <x:f>MAX(0,K29-L29)</x:f>
        <x:v>6.300000000000001</x:v>
      </x:c>
      <x:c r="N29" s="53" t="n">
        <x:v>2</x:v>
      </x:c>
      <x:c r="O29" s="166" t="n">
        <x:f>K29*VLOOKUP(D29,'99_Config'!$A$4:$B$10,2,FALSE)</x:f>
        <x:v>3596</x:v>
      </x:c>
      <x:c r="P29" s="53" t="e">
        <x:f>HYPERLINK("https://example.com/tasks/"&amp;A29,"open")</x:f>
      </x:c>
      <x:c r="Q29" s="56" t="str">
        <x:v>中文说明 + long note for renderer wrapping. Card #25 touches Feature Explorer, AC-025, and has evidence links.</x:v>
      </x:c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3" customHeight="1">
      <x:c r="A30" s="53" t="str">
        <x:v>RTA-1026</x:v>
      </x:c>
      <x:c r="B30" s="53" t="str">
        <x:v>Task-Adaptive Harness</x:v>
      </x:c>
      <x:c r="C30" s="53" t="str">
        <x:v>Harness</x:v>
      </x:c>
      <x:c r="D30" s="53" t="str">
        <x:v>Fang</x:v>
      </x:c>
      <x:c r="E30" s="53" t="str">
        <x:v>Backlog</x:v>
      </x:c>
      <x:c r="F30" s="53" t="str">
        <x:v>P3</x:v>
      </x:c>
      <x:c r="G30" s="168" t="n">
        <x:v>46128</x:v>
      </x:c>
      <x:c r="H30" s="168" t="n">
        <x:v>46145</x:v>
      </x:c>
      <x:c r="I30" s="53" t="n">
        <x:f>H30-TODAY()</x:f>
        <x:v>2</x:v>
      </x:c>
      <x:c r="J30" s="170" t="n">
        <x:v>0.12682797559881315</x:v>
      </x:c>
      <x:c r="K30" s="172" t="n">
        <x:v>34</x:v>
      </x:c>
      <x:c r="L30" s="172" t="n">
        <x:v>2.6</x:v>
      </x:c>
      <x:c r="M30" s="172" t="n">
        <x:f>MAX(0,K30-L30)</x:f>
        <x:v>31.4</x:v>
      </x:c>
      <x:c r="N30" s="53" t="n">
        <x:v>4</x:v>
      </x:c>
      <x:c r="O30" s="166" t="n">
        <x:f>K30*VLOOKUP(D30,'99_Config'!$A$4:$B$10,2,FALSE)</x:f>
        <x:v>4726</x:v>
      </x:c>
      <x:c r="P30" s="53" t="e">
        <x:f>HYPERLINK("https://example.com/tasks/"&amp;A30,"open")</x:f>
      </x:c>
      <x:c r="Q30" s="56" t="str">
        <x:v>中文说明 + long note for renderer wrapping. Card #26 touches Task-Adaptive Harness, AC-026, and has evidence links.</x:v>
      </x:c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3" customHeight="1">
      <x:c r="A31" s="53" t="str">
        <x:v>RTA-1027</x:v>
      </x:c>
      <x:c r="B31" s="53" t="str">
        <x:v>Entrix Fitness</x:v>
      </x:c>
      <x:c r="C31" s="53" t="str">
        <x:v>Agent</x:v>
      </x:c>
      <x:c r="D31" s="53" t="str">
        <x:v>Gita</x:v>
      </x:c>
      <x:c r="E31" s="53" t="str">
        <x:v>Review</x:v>
      </x:c>
      <x:c r="F31" s="53" t="str">
        <x:v>P0</x:v>
      </x:c>
      <x:c r="G31" s="168" t="n">
        <x:v>46130</x:v>
      </x:c>
      <x:c r="H31" s="168" t="n">
        <x:v>46148</x:v>
      </x:c>
      <x:c r="I31" s="53" t="n">
        <x:f>H31-TODAY()</x:f>
        <x:v>5</x:v>
      </x:c>
      <x:c r="J31" s="170" t="n">
        <x:v>0.7368996514856363</x:v>
      </x:c>
      <x:c r="K31" s="172" t="n">
        <x:v>39</x:v>
      </x:c>
      <x:c r="L31" s="172" t="n">
        <x:v>33.3</x:v>
      </x:c>
      <x:c r="M31" s="172" t="n">
        <x:f>MAX(0,K31-L31)</x:f>
        <x:v>5.700000000000003</x:v>
      </x:c>
      <x:c r="N31" s="53" t="n">
        <x:v>3</x:v>
      </x:c>
      <x:c r="O31" s="166" t="n">
        <x:f>K31*VLOOKUP(D31,'99_Config'!$A$4:$B$10,2,FALSE)</x:f>
        <x:v>4992</x:v>
      </x:c>
      <x:c r="P31" s="53" t="e">
        <x:f>HYPERLINK("https://example.com/tasks/"&amp;A31,"open")</x:f>
      </x:c>
      <x:c r="Q31" s="56" t="str">
        <x:v>中文说明 + long note for renderer wrapping. Card #27 touches Entrix Fitness, AC-027, and has evidence links.</x:v>
      </x:c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3" customHeight="1">
      <x:c r="A32" s="53" t="str">
        <x:v>RTA-1028</x:v>
      </x:c>
      <x:c r="B32" s="53" t="str">
        <x:v>Agent Trace Learning</x:v>
      </x:c>
      <x:c r="C32" s="53" t="str">
        <x:v>Data</x:v>
      </x:c>
      <x:c r="D32" s="53" t="str">
        <x:v>Ada</x:v>
      </x:c>
      <x:c r="E32" s="53" t="str">
        <x:v>Todo</x:v>
      </x:c>
      <x:c r="F32" s="53" t="str">
        <x:v>P1</x:v>
      </x:c>
      <x:c r="G32" s="168" t="n">
        <x:v>46132</x:v>
      </x:c>
      <x:c r="H32" s="168" t="n">
        <x:v>46137</x:v>
      </x:c>
      <x:c r="I32" s="53" t="n">
        <x:f>H32-TODAY()</x:f>
        <x:v>-6</x:v>
      </x:c>
      <x:c r="J32" s="170" t="n">
        <x:v>0.09431752554568076</x:v>
      </x:c>
      <x:c r="K32" s="172" t="n">
        <x:v>44</x:v>
      </x:c>
      <x:c r="L32" s="172" t="n">
        <x:v>6.2</x:v>
      </x:c>
      <x:c r="M32" s="172" t="n">
        <x:f>MAX(0,K32-L32)</x:f>
        <x:v>37.8</x:v>
      </x:c>
      <x:c r="N32" s="53" t="n">
        <x:v>5</x:v>
      </x:c>
      <x:c r="O32" s="166" t="n">
        <x:f>K32*VLOOKUP(D32,'99_Config'!$A$4:$B$10,2,FALSE)</x:f>
        <x:v>6380</x:v>
      </x:c>
      <x:c r="P32" s="53" t="e">
        <x:f>HYPERLINK("https://example.com/tasks/"&amp;A32,"open")</x:f>
      </x:c>
      <x:c r="Q32" s="56" t="str">
        <x:v>中文说明 + long note for renderer wrapping. Card #28 touches Agent Trace Learning, AC-028, and has evidence links.</x:v>
      </x:c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3" customHeight="1">
      <x:c r="A33" s="53" t="str">
        <x:v>RTA-1029</x:v>
      </x:c>
      <x:c r="B33" s="53" t="str">
        <x:v>Code Review UI</x:v>
      </x:c>
      <x:c r="C33" s="53" t="str">
        <x:v>Security</x:v>
      </x:c>
      <x:c r="D33" s="53" t="str">
        <x:v>Ben</x:v>
      </x:c>
      <x:c r="E33" s="53" t="str">
        <x:v>Done</x:v>
      </x:c>
      <x:c r="F33" s="53" t="str">
        <x:v>P2</x:v>
      </x:c>
      <x:c r="G33" s="168" t="n">
        <x:v>46134</x:v>
      </x:c>
      <x:c r="H33" s="168" t="n">
        <x:v>46140</x:v>
      </x:c>
      <x:c r="I33" s="53" t="n">
        <x:f>H33-TODAY()</x:f>
        <x:v>-3</x:v>
      </x:c>
      <x:c r="J33" s="170" t="n">
        <x:v>1</x:v>
      </x:c>
      <x:c r="K33" s="172" t="n">
        <x:v>49</x:v>
      </x:c>
      <x:c r="L33" s="172" t="n">
        <x:v>53.6</x:v>
      </x:c>
      <x:c r="M33" s="172" t="n">
        <x:f>MAX(0,K33-L33)</x:f>
        <x:v>0</x:v>
      </x:c>
      <x:c r="N33" s="53" t="n">
        <x:v>2</x:v>
      </x:c>
      <x:c r="O33" s="166" t="n">
        <x:f>K33*VLOOKUP(D33,'99_Config'!$A$4:$B$10,2,FALSE)</x:f>
        <x:v>6468</x:v>
      </x:c>
      <x:c r="P33" s="53" t="e">
        <x:f>HYPERLINK("https://example.com/tasks/"&amp;A33,"open")</x:f>
      </x:c>
      <x:c r="Q33" s="56" t="str">
        <x:v>中文说明 + long note for renderer wrapping. Card #29 touches Code Review UI, AC-029, and has evidence links.</x:v>
      </x:c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3" customHeight="1">
      <x:c r="A34" s="53" t="str">
        <x:v>RTA-1030</x:v>
      </x:c>
      <x:c r="B34" s="53" t="str">
        <x:v>Validation Form</x:v>
      </x:c>
      <x:c r="C34" s="53" t="str">
        <x:v>Docs</x:v>
      </x:c>
      <x:c r="D34" s="53" t="str">
        <x:v>Chen</x:v>
      </x:c>
      <x:c r="E34" s="53" t="str">
        <x:v>Todo</x:v>
      </x:c>
      <x:c r="F34" s="53" t="str">
        <x:v>P0</x:v>
      </x:c>
      <x:c r="G34" s="168" t="n">
        <x:v>46136</x:v>
      </x:c>
      <x:c r="H34" s="168" t="n">
        <x:v>46143</x:v>
      </x:c>
      <x:c r="I34" s="53" t="n">
        <x:f>H34-TODAY()</x:f>
        <x:v>0</x:v>
      </x:c>
      <x:c r="J34" s="170" t="n">
        <x:v>0.1923313385940501</x:v>
      </x:c>
      <x:c r="K34" s="172" t="n">
        <x:v>54</x:v>
      </x:c>
      <x:c r="L34" s="172" t="n">
        <x:v>14.1</x:v>
      </x:c>
      <x:c r="M34" s="172" t="n">
        <x:f>MAX(0,K34-L34)</x:f>
        <x:v>39.9</x:v>
      </x:c>
      <x:c r="N34" s="53" t="n">
        <x:v>5</x:v>
      </x:c>
      <x:c r="O34" s="166" t="n">
        <x:f>K34*VLOOKUP(D34,'99_Config'!$A$4:$B$10,2,FALSE)</x:f>
        <x:v>6372</x:v>
      </x:c>
      <x:c r="P34" s="53" t="e">
        <x:f>HYPERLINK("https://example.com/tasks/"&amp;A34,"open")</x:f>
      </x:c>
      <x:c r="Q34" s="56" t="str">
        <x:v>中文说明 + long note for renderer wrapping. Card #30 touches Validation Form, AC-030, and has evidence links.</x:v>
      </x:c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3" customHeight="1">
      <x:c r="A35" s="53" t="str">
        <x:v>RTA-1031</x:v>
      </x:c>
      <x:c r="B35" s="53" t="str">
        <x:v>Dashboard Canvas</x:v>
      </x:c>
      <x:c r="C35" s="53" t="str">
        <x:v>Ops</x:v>
      </x:c>
      <x:c r="D35" s="53" t="str">
        <x:v>Dina</x:v>
      </x:c>
      <x:c r="E35" s="53" t="str">
        <x:v>Done</x:v>
      </x:c>
      <x:c r="F35" s="53" t="str">
        <x:v>P1</x:v>
      </x:c>
      <x:c r="G35" s="168" t="n">
        <x:v>46138</x:v>
      </x:c>
      <x:c r="H35" s="168" t="n">
        <x:v>46146</x:v>
      </x:c>
      <x:c r="I35" s="53" t="n">
        <x:f>H35-TODAY()</x:f>
        <x:v>3</x:v>
      </x:c>
      <x:c r="J35" s="170" t="n">
        <x:v>1</x:v>
      </x:c>
      <x:c r="K35" s="172" t="n">
        <x:v>59</x:v>
      </x:c>
      <x:c r="L35" s="172" t="n">
        <x:v>59.1</x:v>
      </x:c>
      <x:c r="M35" s="172" t="n">
        <x:f>MAX(0,K35-L35)</x:f>
        <x:v>0</x:v>
      </x:c>
      <x:c r="N35" s="53" t="n">
        <x:v>3</x:v>
      </x:c>
      <x:c r="O35" s="166" t="n">
        <x:f>K35*VLOOKUP(D35,'99_Config'!$A$4:$B$10,2,FALSE)</x:f>
        <x:v>9204</x:v>
      </x:c>
      <x:c r="P35" s="53" t="e">
        <x:f>HYPERLINK("https://example.com/tasks/"&amp;A35,"open")</x:f>
      </x:c>
      <x:c r="Q35" s="56" t="str">
        <x:v>中文说明 + long note for renderer wrapping. Card #31 touches Dashboard Canvas, AC-031, and has evidence links.</x:v>
      </x:c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3" customHeight="1">
      <x:c r="A36" s="53" t="str">
        <x:v>RTA-1032</x:v>
      </x:c>
      <x:c r="B36" s="53" t="str">
        <x:v>Kanban Harness</x:v>
      </x:c>
      <x:c r="C36" s="53" t="str">
        <x:v>API</x:v>
      </x:c>
      <x:c r="D36" s="53" t="str">
        <x:v>Eli</x:v>
      </x:c>
      <x:c r="E36" s="53" t="str">
        <x:v>Dev</x:v>
      </x:c>
      <x:c r="F36" s="53" t="str">
        <x:v>P2</x:v>
      </x:c>
      <x:c r="G36" s="168" t="n">
        <x:v>46140</x:v>
      </x:c>
      <x:c r="H36" s="168" t="n">
        <x:v>46149</x:v>
      </x:c>
      <x:c r="I36" s="53" t="n">
        <x:f>H36-TODAY()</x:f>
        <x:v>6</x:v>
      </x:c>
      <x:c r="J36" s="170" t="n">
        <x:v>0.4812472586037855</x:v>
      </x:c>
      <x:c r="K36" s="172" t="n">
        <x:v>64</x:v>
      </x:c>
      <x:c r="L36" s="172" t="n">
        <x:v>35.6</x:v>
      </x:c>
      <x:c r="M36" s="172" t="n">
        <x:f>MAX(0,K36-L36)</x:f>
        <x:v>28.4</x:v>
      </x:c>
      <x:c r="N36" s="53" t="n">
        <x:v>3</x:v>
      </x:c>
      <x:c r="O36" s="166" t="n">
        <x:f>K36*VLOOKUP(D36,'99_Config'!$A$4:$B$10,2,FALSE)</x:f>
        <x:v>7936</x:v>
      </x:c>
      <x:c r="P36" s="53" t="e">
        <x:f>HYPERLINK("https://example.com/tasks/"&amp;A36,"open")</x:f>
      </x:c>
      <x:c r="Q36" s="56" t="str">
        <x:v>中文说明 + long note for renderer wrapping. Card #32 touches Kanban Harness, AC-032, and has evidence links.</x:v>
      </x:c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3" customHeight="1">
      <x:c r="A37" s="53" t="str">
        <x:v>RTA-1033</x:v>
      </x:c>
      <x:c r="B37" s="53" t="str">
        <x:v>Feature Explorer</x:v>
      </x:c>
      <x:c r="C37" s="53" t="str">
        <x:v>UI</x:v>
      </x:c>
      <x:c r="D37" s="53" t="str">
        <x:v>Fang</x:v>
      </x:c>
      <x:c r="E37" s="53" t="str">
        <x:v>Blocked</x:v>
      </x:c>
      <x:c r="F37" s="53" t="str">
        <x:v>P3</x:v>
      </x:c>
      <x:c r="G37" s="168" t="n">
        <x:v>46142</x:v>
      </x:c>
      <x:c r="H37" s="168" t="n">
        <x:v>46152</x:v>
      </x:c>
      <x:c r="I37" s="53" t="n">
        <x:f>H37-TODAY()</x:f>
        <x:v>9</x:v>
      </x:c>
      <x:c r="J37" s="170" t="n">
        <x:v>0.36278323268519874</x:v>
      </x:c>
      <x:c r="K37" s="172" t="n">
        <x:v>15</x:v>
      </x:c>
      <x:c r="L37" s="172" t="n">
        <x:v>6</x:v>
      </x:c>
      <x:c r="M37" s="172" t="n">
        <x:f>MAX(0,K37-L37)</x:f>
        <x:v>9</x:v>
      </x:c>
      <x:c r="N37" s="53" t="n">
        <x:v>4</x:v>
      </x:c>
      <x:c r="O37" s="166" t="n">
        <x:f>K37*VLOOKUP(D37,'99_Config'!$A$4:$B$10,2,FALSE)</x:f>
        <x:v>2085</x:v>
      </x:c>
      <x:c r="P37" s="53" t="e">
        <x:f>HYPERLINK("https://example.com/tasks/"&amp;A37,"open")</x:f>
      </x:c>
      <x:c r="Q37" s="56" t="str">
        <x:v>中文说明 + long note for renderer wrapping. Card #33 touches Feature Explorer, AC-033, and has evidence links.</x:v>
      </x:c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3" customHeight="1">
      <x:c r="A38" s="53" t="str">
        <x:v>RTA-1034</x:v>
      </x:c>
      <x:c r="B38" s="53" t="str">
        <x:v>Task-Adaptive Harness</x:v>
      </x:c>
      <x:c r="C38" s="53" t="str">
        <x:v>Harness</x:v>
      </x:c>
      <x:c r="D38" s="53" t="str">
        <x:v>Gita</x:v>
      </x:c>
      <x:c r="E38" s="53" t="str">
        <x:v>Dev</x:v>
      </x:c>
      <x:c r="F38" s="53" t="str">
        <x:v>P0</x:v>
      </x:c>
      <x:c r="G38" s="168" t="n">
        <x:v>46144</x:v>
      </x:c>
      <x:c r="H38" s="168" t="n">
        <x:v>46155</x:v>
      </x:c>
      <x:c r="I38" s="53" t="n">
        <x:f>H38-TODAY()</x:f>
        <x:v>12</x:v>
      </x:c>
      <x:c r="J38" s="170" t="n">
        <x:v>0.5043948448820066</x:v>
      </x:c>
      <x:c r="K38" s="172" t="n">
        <x:v>20</x:v>
      </x:c>
      <x:c r="L38" s="172" t="n">
        <x:v>13.4</x:v>
      </x:c>
      <x:c r="M38" s="172" t="n">
        <x:f>MAX(0,K38-L38)</x:f>
        <x:v>6.6</x:v>
      </x:c>
      <x:c r="N38" s="53" t="n">
        <x:v>4</x:v>
      </x:c>
      <x:c r="O38" s="166" t="n">
        <x:f>K38*VLOOKUP(D38,'99_Config'!$A$4:$B$10,2,FALSE)</x:f>
        <x:v>2560</x:v>
      </x:c>
      <x:c r="P38" s="53" t="e">
        <x:f>HYPERLINK("https://example.com/tasks/"&amp;A38,"open")</x:f>
      </x:c>
      <x:c r="Q38" s="56" t="str">
        <x:v>中文说明 + long note for renderer wrapping. Card #34 touches Task-Adaptive Harness, AC-034, and has evidence links.</x:v>
      </x:c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33" customHeight="1">
      <x:c r="A39" s="53" t="str">
        <x:v>RTA-1035</x:v>
      </x:c>
      <x:c r="B39" s="53" t="str">
        <x:v>Entrix Fitness</x:v>
      </x:c>
      <x:c r="C39" s="53" t="str">
        <x:v>Agent</x:v>
      </x:c>
      <x:c r="D39" s="53" t="str">
        <x:v>Ada</x:v>
      </x:c>
      <x:c r="E39" s="53" t="str">
        <x:v>Blocked</x:v>
      </x:c>
      <x:c r="F39" s="53" t="str">
        <x:v>P2</x:v>
      </x:c>
      <x:c r="G39" s="168" t="n">
        <x:v>46146</x:v>
      </x:c>
      <x:c r="H39" s="168" t="n">
        <x:v>46158</x:v>
      </x:c>
      <x:c r="I39" s="53" t="n">
        <x:f>H39-TODAY()</x:f>
        <x:v>15</x:v>
      </x:c>
      <x:c r="J39" s="170" t="n">
        <x:v>0.3458557339871431</x:v>
      </x:c>
      <x:c r="K39" s="172" t="n">
        <x:v>25</x:v>
      </x:c>
      <x:c r="L39" s="172" t="n">
        <x:v>11</x:v>
      </x:c>
      <x:c r="M39" s="172" t="n">
        <x:f>MAX(0,K39-L39)</x:f>
        <x:v>14</x:v>
      </x:c>
      <x:c r="N39" s="53" t="n">
        <x:v>4</x:v>
      </x:c>
      <x:c r="O39" s="166" t="n">
        <x:f>K39*VLOOKUP(D39,'99_Config'!$A$4:$B$10,2,FALSE)</x:f>
        <x:v>3625</x:v>
      </x:c>
      <x:c r="P39" s="53" t="e">
        <x:f>HYPERLINK("https://example.com/tasks/"&amp;A39,"open")</x:f>
      </x:c>
      <x:c r="Q39" s="56" t="str">
        <x:v>中文说明 + long note for renderer wrapping. Card #35 touches Entrix Fitness, AC-035, and has evidence links.</x:v>
      </x:c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3" customHeight="1">
      <x:c r="A40" s="53" t="str">
        <x:v>RTA-1036</x:v>
      </x:c>
      <x:c r="B40" s="53" t="str">
        <x:v>Agent Trace Learning</x:v>
      </x:c>
      <x:c r="C40" s="53" t="str">
        <x:v>Data</x:v>
      </x:c>
      <x:c r="D40" s="53" t="str">
        <x:v>Ben</x:v>
      </x:c>
      <x:c r="E40" s="53" t="str">
        <x:v>Review</x:v>
      </x:c>
      <x:c r="F40" s="53" t="str">
        <x:v>P3</x:v>
      </x:c>
      <x:c r="G40" s="168" t="n">
        <x:v>46148</x:v>
      </x:c>
      <x:c r="H40" s="168" t="n">
        <x:v>46161</x:v>
      </x:c>
      <x:c r="I40" s="53" t="n">
        <x:f>H40-TODAY()</x:f>
        <x:v>18</x:v>
      </x:c>
      <x:c r="J40" s="170" t="n">
        <x:v>0.6797071084155552</x:v>
      </x:c>
      <x:c r="K40" s="172" t="n">
        <x:v>30</x:v>
      </x:c>
      <x:c r="L40" s="172" t="n">
        <x:v>23.5</x:v>
      </x:c>
      <x:c r="M40" s="172" t="n">
        <x:f>MAX(0,K40-L40)</x:f>
        <x:v>6.5</x:v>
      </x:c>
      <x:c r="N40" s="53" t="n">
        <x:v>2</x:v>
      </x:c>
      <x:c r="O40" s="166" t="n">
        <x:f>K40*VLOOKUP(D40,'99_Config'!$A$4:$B$10,2,FALSE)</x:f>
        <x:v>3960</x:v>
      </x:c>
      <x:c r="P40" s="53" t="e">
        <x:f>HYPERLINK("https://example.com/tasks/"&amp;A40,"open")</x:f>
      </x:c>
      <x:c r="Q40" s="56" t="str">
        <x:v>中文说明 + long note for renderer wrapping. Card #36 touches Agent Trace Learning, AC-036, and has evidence links.</x:v>
      </x:c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33" customHeight="1">
      <x:c r="A41" s="53" t="str">
        <x:v>RTA-1037</x:v>
      </x:c>
      <x:c r="B41" s="53" t="str">
        <x:v>Code Review UI</x:v>
      </x:c>
      <x:c r="C41" s="53" t="str">
        <x:v>Security</x:v>
      </x:c>
      <x:c r="D41" s="53" t="str">
        <x:v>Chen</x:v>
      </x:c>
      <x:c r="E41" s="53" t="str">
        <x:v>Backlog</x:v>
      </x:c>
      <x:c r="F41" s="53" t="str">
        <x:v>P0</x:v>
      </x:c>
      <x:c r="G41" s="168" t="n">
        <x:v>46113</x:v>
      </x:c>
      <x:c r="H41" s="168" t="n">
        <x:v>46127</x:v>
      </x:c>
      <x:c r="I41" s="53" t="n">
        <x:f>H41-TODAY()</x:f>
        <x:v>-16</x:v>
      </x:c>
      <x:c r="J41" s="170" t="n">
        <x:v>0.07354061672442701</x:v>
      </x:c>
      <x:c r="K41" s="172" t="n">
        <x:v>35</x:v>
      </x:c>
      <x:c r="L41" s="172" t="n">
        <x:v>8.8</x:v>
      </x:c>
      <x:c r="M41" s="172" t="n">
        <x:f>MAX(0,K41-L41)</x:f>
        <x:v>26.2</x:v>
      </x:c>
      <x:c r="N41" s="53" t="n">
        <x:v>5</x:v>
      </x:c>
      <x:c r="O41" s="166" t="n">
        <x:f>K41*VLOOKUP(D41,'99_Config'!$A$4:$B$10,2,FALSE)</x:f>
        <x:v>4130</x:v>
      </x:c>
      <x:c r="P41" s="53" t="e">
        <x:f>HYPERLINK("https://example.com/tasks/"&amp;A41,"open")</x:f>
      </x:c>
      <x:c r="Q41" s="56" t="str">
        <x:v>中文说明 + long note for renderer wrapping. Card #37 touches Code Review UI, AC-037, and has evidence links.</x:v>
      </x:c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3" customHeight="1">
      <x:c r="A42" s="53" t="str">
        <x:v>RTA-1038</x:v>
      </x:c>
      <x:c r="B42" s="53" t="str">
        <x:v>Validation Form</x:v>
      </x:c>
      <x:c r="C42" s="53" t="str">
        <x:v>Docs</x:v>
      </x:c>
      <x:c r="D42" s="53" t="str">
        <x:v>Dina</x:v>
      </x:c>
      <x:c r="E42" s="53" t="str">
        <x:v>Review</x:v>
      </x:c>
      <x:c r="F42" s="53" t="str">
        <x:v>P1</x:v>
      </x:c>
      <x:c r="G42" s="168" t="n">
        <x:v>46115</x:v>
      </x:c>
      <x:c r="H42" s="168" t="n">
        <x:v>46130</x:v>
      </x:c>
      <x:c r="I42" s="53" t="n">
        <x:f>H42-TODAY()</x:f>
        <x:v>-13</x:v>
      </x:c>
      <x:c r="J42" s="170" t="n">
        <x:v>0.8015079658575543</x:v>
      </x:c>
      <x:c r="K42" s="172" t="n">
        <x:v>40</x:v>
      </x:c>
      <x:c r="L42" s="172" t="n">
        <x:v>31.8</x:v>
      </x:c>
      <x:c r="M42" s="172" t="n">
        <x:f>MAX(0,K42-L42)</x:f>
        <x:v>8.2</x:v>
      </x:c>
      <x:c r="N42" s="53" t="n">
        <x:v>3</x:v>
      </x:c>
      <x:c r="O42" s="166" t="n">
        <x:f>K42*VLOOKUP(D42,'99_Config'!$A$4:$B$10,2,FALSE)</x:f>
        <x:v>6240</x:v>
      </x:c>
      <x:c r="P42" s="53" t="e">
        <x:f>HYPERLINK("https://example.com/tasks/"&amp;A42,"open")</x:f>
      </x:c>
      <x:c r="Q42" s="56" t="str">
        <x:v>中文说明 + long note for renderer wrapping. Card #38 touches Validation Form, AC-038, and has evidence links.</x:v>
      </x:c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33" customHeight="1">
      <x:c r="A43" s="53" t="str">
        <x:v>RTA-1039</x:v>
      </x:c>
      <x:c r="B43" s="53" t="str">
        <x:v>Dashboard Canvas</x:v>
      </x:c>
      <x:c r="C43" s="53" t="str">
        <x:v>Ops</x:v>
      </x:c>
      <x:c r="D43" s="53" t="str">
        <x:v>Eli</x:v>
      </x:c>
      <x:c r="E43" s="53" t="str">
        <x:v>Backlog</x:v>
      </x:c>
      <x:c r="F43" s="53" t="str">
        <x:v>P2</x:v>
      </x:c>
      <x:c r="G43" s="168" t="n">
        <x:v>46117</x:v>
      </x:c>
      <x:c r="H43" s="168" t="n">
        <x:v>46133</x:v>
      </x:c>
      <x:c r="I43" s="53" t="n">
        <x:f>H43-TODAY()</x:f>
        <x:v>-10</x:v>
      </x:c>
      <x:c r="J43" s="170" t="n">
        <x:v>0.03172663079147373</x:v>
      </x:c>
      <x:c r="K43" s="172" t="n">
        <x:v>45</x:v>
      </x:c>
      <x:c r="L43" s="172" t="n">
        <x:v>5.7</x:v>
      </x:c>
      <x:c r="M43" s="172" t="n">
        <x:f>MAX(0,K43-L43)</x:f>
        <x:v>39.3</x:v>
      </x:c>
      <x:c r="N43" s="53" t="n">
        <x:v>4</x:v>
      </x:c>
      <x:c r="O43" s="166" t="n">
        <x:f>K43*VLOOKUP(D43,'99_Config'!$A$4:$B$10,2,FALSE)</x:f>
        <x:v>5580</x:v>
      </x:c>
      <x:c r="P43" s="53" t="e">
        <x:f>HYPERLINK("https://example.com/tasks/"&amp;A43,"open")</x:f>
      </x:c>
      <x:c r="Q43" s="56" t="str">
        <x:v>中文说明 + long note for renderer wrapping. Card #39 touches Dashboard Canvas, AC-039, and has evidence links.</x:v>
      </x:c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33" customHeight="1">
      <x:c r="A44" s="53" t="str">
        <x:v>RTA-1040</x:v>
      </x:c>
      <x:c r="B44" s="53" t="str">
        <x:v>Kanban Harness</x:v>
      </x:c>
      <x:c r="C44" s="53" t="str">
        <x:v>API</x:v>
      </x:c>
      <x:c r="D44" s="53" t="str">
        <x:v>Fang</x:v>
      </x:c>
      <x:c r="E44" s="53" t="str">
        <x:v>Done</x:v>
      </x:c>
      <x:c r="F44" s="53" t="str">
        <x:v>P0</x:v>
      </x:c>
      <x:c r="G44" s="168" t="n">
        <x:v>46119</x:v>
      </x:c>
      <x:c r="H44" s="168" t="n">
        <x:v>46136</x:v>
      </x:c>
      <x:c r="I44" s="53" t="n">
        <x:f>H44-TODAY()</x:f>
        <x:v>-7</x:v>
      </x:c>
      <x:c r="J44" s="170" t="n">
        <x:v>1</x:v>
      </x:c>
      <x:c r="K44" s="172" t="n">
        <x:v>50</x:v>
      </x:c>
      <x:c r="L44" s="172" t="n">
        <x:v>52</x:v>
      </x:c>
      <x:c r="M44" s="172" t="n">
        <x:f>MAX(0,K44-L44)</x:f>
        <x:v>0</x:v>
      </x:c>
      <x:c r="N44" s="53" t="n">
        <x:v>3</x:v>
      </x:c>
      <x:c r="O44" s="166" t="n">
        <x:f>K44*VLOOKUP(D44,'99_Config'!$A$4:$B$10,2,FALSE)</x:f>
        <x:v>6950</x:v>
      </x:c>
      <x:c r="P44" s="53" t="e">
        <x:f>HYPERLINK("https://example.com/tasks/"&amp;A44,"open")</x:f>
      </x:c>
      <x:c r="Q44" s="56" t="str">
        <x:v>中文说明 + long note for renderer wrapping. Card #40 touches Kanban Harness, AC-040, and has evidence links.</x:v>
      </x:c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Q1"/>
    <x:mergeCell ref="A2:Q2"/>
  </x:mergeCells>
  <x:conditionalFormatting sqref="J5:J44">
    <x:cfRule type="dataBar" priority="1">
      <x:dataBar>
        <x:cfvo type="min"/>
        <x:cfvo type="max"/>
        <x:color rgb="2ADB5C"/>
      </x:dataBar>
      <x:extLst>
        <x:ext xmlns:x14="http://schemas.microsoft.com/office/spreadsheetml/2009/9/main" uri="{B025F937-C7B1-47D3-B67F-A62EFF666E3E}">
          <x14:id>{EA062501-C7C4-23F3-A28D-D4CEAB3920A8}</x14:id>
        </x:ext>
      </x:extLst>
    </x:cfRule>
  </x:conditionalFormatting>
  <x:conditionalFormatting sqref="N5:N44">
    <x:cfRule type="iconSet" priority="2">
      <x:iconSet iconSet="5Rating" showValue="0" percent="1" reverse="1">
        <x:cfvo type="percent" val="0"/>
        <x:cfvo type="percent" val="20"/>
        <x:cfvo type="percent" val="40"/>
        <x:cfvo type="percent" val="60"/>
        <x:cfvo type="percent" val="80"/>
      </x:iconSet>
    </x:cfRule>
  </x:conditionalFormatting>
  <x:conditionalFormatting sqref="I5:I44">
    <x:cfRule type="cellIs" dxfId="0" priority="3" operator="lessThan">
      <x:formula>0</x:formula>
    </x:cfRule>
  </x:conditionalFormatting>
  <x:conditionalFormatting sqref="E5:E44">
    <x:cfRule type="containsText" dxfId="1" priority="4" operator="containsText" text="Blocked"/>
    <x:cfRule type="containsText" dxfId="2" priority="5" operator="containsText" text="Done"/>
  </x:conditionalFormatting>
  <x:dataValidations count="3">
    <x:dataValidation type="list" allowBlank="0" showDropDown="0" sqref="E5:E44">
      <x:formula1>"Backlog,Todo,Dev,Review,Done,Blocked"</x:formula1>
    </x:dataValidation>
    <x:dataValidation type="list" allowBlank="0" showDropDown="0" sqref="F5:F44">
      <x:formula1>"P0,P1,P2,P3"</x:formula1>
    </x:dataValidation>
    <x:dataValidation type="list" allowBlank="0" showDropDown="0" sqref="D5:D44">
      <x:formula1>"Ada,Ben,Chen,Dina,Eli,Fang,Gita"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cebd41f5b94f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A062501-C7C4-23F3-A28D-D4CEAB3920A8}">
            <x14:dataBar gradient="1">
              <x14:cfvo type="min"/>
              <x14:cfvo type="max"/>
              <x14:fillColor rgb="2ADB5C"/>
            </x14:dataBar>
          </x14:cfRule>
          <xm:sqref>J5:J44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12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2" hidden="0" customWidth="1"/>
    <x:col min="12" max="12" width="48" hidden="0" customWidth="1"/>
  </x:cols>
  <x:sheetData>
    <x:row r="1" ht="32" customHeight="1">
      <x:c r="A1" s="7" t="str">
        <x:v>Monthly Delivery Signals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4" t="str">
        <x:v>Time series with formulas, chart, data bars and sparklines.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79" t="str">
        <x:v>Month</x:v>
      </x:c>
      <x:c r="B4" s="179" t="str">
        <x:v>Completed</x:v>
      </x:c>
      <x:c r="C4" s="179" t="str">
        <x:v>Escaped Defects</x:v>
      </x:c>
      <x:c r="D4" s="179" t="str">
        <x:v>Coverage</x:v>
      </x:c>
      <x:c r="E4" s="179" t="str">
        <x:v>Lead Time</x:v>
      </x:c>
      <x:c r="F4" s="179" t="str">
        <x:v>Fitness Score</x:v>
      </x:c>
      <x:c r="G4" s="179" t="str">
        <x:v>Sparkline</x:v>
      </x:c>
      <x:c r="H4" s="179" t="str">
        <x:v>Revenue</x:v>
      </x:c>
      <x:c r="I4" s="179" t="str">
        <x:v>Cost</x:v>
      </x:c>
      <x:c r="J4" s="179" t="str">
        <x:v>Margin</x:v>
      </x:c>
      <x:c r="K4" s="179" t="str">
        <x:v>Quality Gate</x:v>
      </x:c>
      <x:c r="L4" s="179" t="str">
        <x:v>Note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0" customHeight="1">
      <x:c r="A5" s="186" t="n">
        <x:v>45658</x:v>
      </x:c>
      <x:c r="B5" s="53" t="n">
        <x:v>18</x:v>
      </x:c>
      <x:c r="C5" s="53" t="n">
        <x:v>12</x:v>
      </x:c>
      <x:c r="D5" s="170" t="n">
        <x:v>0.64</x:v>
      </x:c>
      <x:c r="E5" s="172" t="n">
        <x:v>9.5</x:v>
      </x:c>
      <x:c r="F5" s="172" t="n">
        <x:v>62.6</x:v>
      </x:c>
      <x:c r="G5" s="53"/>
      <x:c r="H5" s="166" t="n">
        <x:v>82000</x:v>
      </x:c>
      <x:c r="I5" s="166" t="n">
        <x:v>52000</x:v>
      </x:c>
      <x:c r="J5" s="166" t="n">
        <x:f>H5-I5</x:f>
        <x:v>30000</x:v>
      </x:c>
      <x:c r="K5" s="53" t="str">
        <x:v>Warn</x:v>
      </x:c>
      <x:c r="L5" s="56" t="str">
        <x:v>Release train 1; includes i18n, formulas and date-axis stress.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customHeight="1">
      <x:c r="A6" s="186" t="n">
        <x:v>45689</x:v>
      </x:c>
      <x:c r="B6" s="53" t="n">
        <x:v>21</x:v>
      </x:c>
      <x:c r="C6" s="53" t="n">
        <x:v>13</x:v>
      </x:c>
      <x:c r="D6" s="170" t="n">
        <x:v>0.658</x:v>
      </x:c>
      <x:c r="E6" s="172" t="n">
        <x:v>9.58</x:v>
      </x:c>
      <x:c r="F6" s="172" t="n">
        <x:v>63.550000000000004</x:v>
      </x:c>
      <x:c r="G6" s="53"/>
      <x:c r="H6" s="166" t="n">
        <x:v>88800</x:v>
      </x:c>
      <x:c r="I6" s="166" t="n">
        <x:v>55600</x:v>
      </x:c>
      <x:c r="J6" s="166" t="n">
        <x:f>H6-I6</x:f>
        <x:v>33200</x:v>
      </x:c>
      <x:c r="K6" s="53" t="str">
        <x:v>Warn</x:v>
      </x:c>
      <x:c r="L6" s="56" t="str">
        <x:v>Release train 2; includes i18n, formulas and date-axis stress.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customHeight="1">
      <x:c r="A7" s="186" t="n">
        <x:v>45717</x:v>
      </x:c>
      <x:c r="B7" s="53" t="n">
        <x:v>25</x:v>
      </x:c>
      <x:c r="C7" s="53" t="n">
        <x:v>14</x:v>
      </x:c>
      <x:c r="D7" s="170" t="n">
        <x:v>0.676</x:v>
      </x:c>
      <x:c r="E7" s="172" t="n">
        <x:v>9.66</x:v>
      </x:c>
      <x:c r="F7" s="172" t="n">
        <x:v>64.5</x:v>
      </x:c>
      <x:c r="G7" s="53"/>
      <x:c r="H7" s="166" t="n">
        <x:v>95600</x:v>
      </x:c>
      <x:c r="I7" s="166" t="n">
        <x:v>59200</x:v>
      </x:c>
      <x:c r="J7" s="166" t="n">
        <x:f>H7-I7</x:f>
        <x:v>36400</x:v>
      </x:c>
      <x:c r="K7" s="53" t="str">
        <x:v>Warn</x:v>
      </x:c>
      <x:c r="L7" s="56" t="str">
        <x:v>Release train 3; includes i18n, formulas and date-axis stress.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customHeight="1">
      <x:c r="A8" s="186" t="n">
        <x:v>45748</x:v>
      </x:c>
      <x:c r="B8" s="53" t="n">
        <x:v>28</x:v>
      </x:c>
      <x:c r="C8" s="53" t="n">
        <x:v>14</x:v>
      </x:c>
      <x:c r="D8" s="170" t="n">
        <x:v>0.676</x:v>
      </x:c>
      <x:c r="E8" s="172" t="n">
        <x:v>9.74</x:v>
      </x:c>
      <x:c r="F8" s="172" t="n">
        <x:v>65.9</x:v>
      </x:c>
      <x:c r="G8" s="53"/>
      <x:c r="H8" s="166" t="n">
        <x:v>94600</x:v>
      </x:c>
      <x:c r="I8" s="166" t="n">
        <x:v>62800</x:v>
      </x:c>
      <x:c r="J8" s="166" t="n">
        <x:f>H8-I8</x:f>
        <x:v>31800</x:v>
      </x:c>
      <x:c r="K8" s="53" t="str">
        <x:v>Warn</x:v>
      </x:c>
      <x:c r="L8" s="56" t="str">
        <x:v>Release train 4; includes i18n, formulas and date-axis stress.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customHeight="1">
      <x:c r="A9" s="186" t="n">
        <x:v>45778</x:v>
      </x:c>
      <x:c r="B9" s="53" t="n">
        <x:v>24</x:v>
      </x:c>
      <x:c r="C9" s="53" t="n">
        <x:v>15</x:v>
      </x:c>
      <x:c r="D9" s="170" t="n">
        <x:v>0.6940000000000001</x:v>
      </x:c>
      <x:c r="E9" s="172" t="n">
        <x:v>8.62</x:v>
      </x:c>
      <x:c r="F9" s="172" t="n">
        <x:v>66.85</x:v>
      </x:c>
      <x:c r="G9" s="53"/>
      <x:c r="H9" s="166" t="n">
        <x:v>101400</x:v>
      </x:c>
      <x:c r="I9" s="166" t="n">
        <x:v>61200</x:v>
      </x:c>
      <x:c r="J9" s="166" t="n">
        <x:f>H9-I9</x:f>
        <x:v>40200</x:v>
      </x:c>
      <x:c r="K9" s="53" t="str">
        <x:v>Warn</x:v>
      </x:c>
      <x:c r="L9" s="56" t="str">
        <x:v>Release train 5; includes i18n, formulas and date-axis stress.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customHeight="1">
      <x:c r="A10" s="186" t="n">
        <x:v>45809</x:v>
      </x:c>
      <x:c r="B10" s="53" t="n">
        <x:v>27</x:v>
      </x:c>
      <x:c r="C10" s="53" t="n">
        <x:v>10</x:v>
      </x:c>
      <x:c r="D10" s="170" t="n">
        <x:v>0.712</x:v>
      </x:c>
      <x:c r="E10" s="172" t="n">
        <x:v>8.700000000000001</x:v>
      </x:c>
      <x:c r="F10" s="172" t="n">
        <x:v>70.5</x:v>
      </x:c>
      <x:c r="G10" s="53"/>
      <x:c r="H10" s="166" t="n">
        <x:v>108200</x:v>
      </x:c>
      <x:c r="I10" s="166" t="n">
        <x:v>64800</x:v>
      </x:c>
      <x:c r="J10" s="166" t="n">
        <x:f>H10-I10</x:f>
        <x:v>43400</x:v>
      </x:c>
      <x:c r="K10" s="53" t="str">
        <x:v>Warn</x:v>
      </x:c>
      <x:c r="L10" s="56" t="str">
        <x:v>Release train 6; includes i18n, formulas and date-axis stress.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customHeight="1">
      <x:c r="A11" s="186" t="n">
        <x:v>45839</x:v>
      </x:c>
      <x:c r="B11" s="53" t="n">
        <x:v>31</x:v>
      </x:c>
      <x:c r="C11" s="53" t="n">
        <x:v>11</x:v>
      </x:c>
      <x:c r="D11" s="170" t="n">
        <x:v>0.712</x:v>
      </x:c>
      <x:c r="E11" s="172" t="n">
        <x:v>8.78</x:v>
      </x:c>
      <x:c r="F11" s="172" t="n">
        <x:v>71.45</x:v>
      </x:c>
      <x:c r="G11" s="53"/>
      <x:c r="H11" s="166" t="n">
        <x:v>107200</x:v>
      </x:c>
      <x:c r="I11" s="166" t="n">
        <x:v>68400</x:v>
      </x:c>
      <x:c r="J11" s="166" t="n">
        <x:f>H11-I11</x:f>
        <x:v>38800</x:v>
      </x:c>
      <x:c r="K11" s="53" t="str">
        <x:v>Warn</x:v>
      </x:c>
      <x:c r="L11" s="56" t="str">
        <x:v>Release train 7; includes i18n, formulas and date-axis stress.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customHeight="1">
      <x:c r="A12" s="186" t="n">
        <x:v>45870</x:v>
      </x:c>
      <x:c r="B12" s="53" t="n">
        <x:v>34</x:v>
      </x:c>
      <x:c r="C12" s="53" t="n">
        <x:v>11</x:v>
      </x:c>
      <x:c r="D12" s="170" t="n">
        <x:v>0.73</x:v>
      </x:c>
      <x:c r="E12" s="172" t="n">
        <x:v>8.86</x:v>
      </x:c>
      <x:c r="F12" s="172" t="n">
        <x:v>72.85</x:v>
      </x:c>
      <x:c r="G12" s="53"/>
      <x:c r="H12" s="166" t="n">
        <x:v>114000</x:v>
      </x:c>
      <x:c r="I12" s="166" t="n">
        <x:v>72000</x:v>
      </x:c>
      <x:c r="J12" s="166" t="n">
        <x:f>H12-I12</x:f>
        <x:v>42000</x:v>
      </x:c>
      <x:c r="K12" s="53" t="str">
        <x:v>Warn</x:v>
      </x:c>
      <x:c r="L12" s="56" t="str">
        <x:v>Release train 8; includes i18n, formulas and date-axis stress.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0" customHeight="1">
      <x:c r="A13" s="186" t="n">
        <x:v>45901</x:v>
      </x:c>
      <x:c r="B13" s="53" t="n">
        <x:v>30</x:v>
      </x:c>
      <x:c r="C13" s="53" t="n">
        <x:v>12</x:v>
      </x:c>
      <x:c r="D13" s="170" t="n">
        <x:v>0.748</x:v>
      </x:c>
      <x:c r="E13" s="172" t="n">
        <x:v>7.74</x:v>
      </x:c>
      <x:c r="F13" s="172" t="n">
        <x:v>73.8</x:v>
      </x:c>
      <x:c r="G13" s="53"/>
      <x:c r="H13" s="166" t="n">
        <x:v>120800</x:v>
      </x:c>
      <x:c r="I13" s="166" t="n">
        <x:v>70400</x:v>
      </x:c>
      <x:c r="J13" s="166" t="n">
        <x:f>H13-I13</x:f>
        <x:v>50400</x:v>
      </x:c>
      <x:c r="K13" s="53" t="str">
        <x:v>Warn</x:v>
      </x:c>
      <x:c r="L13" s="56" t="str">
        <x:v>Release train 9; includes i18n, formulas and date-axis stress.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0" customHeight="1">
      <x:c r="A14" s="186" t="n">
        <x:v>45931</x:v>
      </x:c>
      <x:c r="B14" s="53" t="n">
        <x:v>33</x:v>
      </x:c>
      <x:c r="C14" s="53" t="n">
        <x:v>12</x:v>
      </x:c>
      <x:c r="D14" s="170" t="n">
        <x:v>0.748</x:v>
      </x:c>
      <x:c r="E14" s="172" t="n">
        <x:v>7.819999999999999</x:v>
      </x:c>
      <x:c r="F14" s="172" t="n">
        <x:v>75.19999999999999</x:v>
      </x:c>
      <x:c r="G14" s="53"/>
      <x:c r="H14" s="166" t="n">
        <x:v>119800</x:v>
      </x:c>
      <x:c r="I14" s="166" t="n">
        <x:v>74000</x:v>
      </x:c>
      <x:c r="J14" s="166" t="n">
        <x:f>H14-I14</x:f>
        <x:v>45800</x:v>
      </x:c>
      <x:c r="K14" s="53" t="str">
        <x:v>Warn</x:v>
      </x:c>
      <x:c r="L14" s="56" t="str">
        <x:v>Release train 10; includes i18n, formulas and date-axis stress.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0" customHeight="1">
      <x:c r="A15" s="186" t="n">
        <x:v>45962</x:v>
      </x:c>
      <x:c r="B15" s="53" t="n">
        <x:v>37</x:v>
      </x:c>
      <x:c r="C15" s="53" t="n">
        <x:v>8</x:v>
      </x:c>
      <x:c r="D15" s="170" t="n">
        <x:v>0.766</x:v>
      </x:c>
      <x:c r="E15" s="172" t="n">
        <x:v>7.8999999999999995</x:v>
      </x:c>
      <x:c r="F15" s="172" t="n">
        <x:v>78.4</x:v>
      </x:c>
      <x:c r="G15" s="53"/>
      <x:c r="H15" s="166" t="n">
        <x:v>126600</x:v>
      </x:c>
      <x:c r="I15" s="166" t="n">
        <x:v>77600</x:v>
      </x:c>
      <x:c r="J15" s="166" t="n">
        <x:f>H15-I15</x:f>
        <x:v>49000</x:v>
      </x:c>
      <x:c r="K15" s="53" t="str">
        <x:v>Pass</x:v>
      </x:c>
      <x:c r="L15" s="56" t="str">
        <x:v>Release train 11; includes i18n, formulas and date-axis stress.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0" customHeight="1">
      <x:c r="A16" s="186" t="n">
        <x:v>45992</x:v>
      </x:c>
      <x:c r="B16" s="53" t="n">
        <x:v>40</x:v>
      </x:c>
      <x:c r="C16" s="53" t="n">
        <x:v>9</x:v>
      </x:c>
      <x:c r="D16" s="170" t="n">
        <x:v>0.784</x:v>
      </x:c>
      <x:c r="E16" s="172" t="n">
        <x:v>7.98</x:v>
      </x:c>
      <x:c r="F16" s="172" t="n">
        <x:v>79.35000000000001</x:v>
      </x:c>
      <x:c r="G16" s="53"/>
      <x:c r="H16" s="166" t="n">
        <x:v>133400</x:v>
      </x:c>
      <x:c r="I16" s="166" t="n">
        <x:v>81200</x:v>
      </x:c>
      <x:c r="J16" s="166" t="n">
        <x:f>H16-I16</x:f>
        <x:v>52200</x:v>
      </x:c>
      <x:c r="K16" s="53" t="str">
        <x:v>Pass</x:v>
      </x:c>
      <x:c r="L16" s="56" t="str">
        <x:v>Release train 12; includes i18n, formulas and date-axis stress.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0" customHeight="1">
      <x:c r="A17" s="186" t="n">
        <x:v>46023</x:v>
      </x:c>
      <x:c r="B17" s="53" t="n">
        <x:v>36</x:v>
      </x:c>
      <x:c r="C17" s="53" t="n">
        <x:v>9</x:v>
      </x:c>
      <x:c r="D17" s="170" t="n">
        <x:v>0.784</x:v>
      </x:c>
      <x:c r="E17" s="172" t="n">
        <x:v>6.859999999999999</x:v>
      </x:c>
      <x:c r="F17" s="172" t="n">
        <x:v>80.75</x:v>
      </x:c>
      <x:c r="G17" s="53"/>
      <x:c r="H17" s="166" t="n">
        <x:v>132400</x:v>
      </x:c>
      <x:c r="I17" s="166" t="n">
        <x:v>79600</x:v>
      </x:c>
      <x:c r="J17" s="166" t="n">
        <x:f>H17-I17</x:f>
        <x:v>52800</x:v>
      </x:c>
      <x:c r="K17" s="53" t="str">
        <x:v>Pass</x:v>
      </x:c>
      <x:c r="L17" s="56" t="str">
        <x:v>Release train 13; includes i18n, formulas and date-axis stress.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0" customHeight="1">
      <x:c r="A18" s="186" t="n">
        <x:v>46054</x:v>
      </x:c>
      <x:c r="B18" s="53" t="n">
        <x:v>39</x:v>
      </x:c>
      <x:c r="C18" s="53" t="n">
        <x:v>10</x:v>
      </x:c>
      <x:c r="D18" s="170" t="n">
        <x:v>0.802</x:v>
      </x:c>
      <x:c r="E18" s="172" t="n">
        <x:v>6.94</x:v>
      </x:c>
      <x:c r="F18" s="172" t="n">
        <x:v>81.7</x:v>
      </x:c>
      <x:c r="G18" s="53"/>
      <x:c r="H18" s="166" t="n">
        <x:v>139200</x:v>
      </x:c>
      <x:c r="I18" s="166" t="n">
        <x:v>83200</x:v>
      </x:c>
      <x:c r="J18" s="166" t="n">
        <x:f>H18-I18</x:f>
        <x:v>56000</x:v>
      </x:c>
      <x:c r="K18" s="53" t="str">
        <x:v>Warn</x:v>
      </x:c>
      <x:c r="L18" s="56" t="str">
        <x:v>Release train 14; includes i18n, formulas and date-axis stress.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0" customHeight="1">
      <x:c r="A19" s="186" t="n">
        <x:v>46082</x:v>
      </x:c>
      <x:c r="B19" s="53" t="n">
        <x:v>43</x:v>
      </x:c>
      <x:c r="C19" s="53" t="n">
        <x:v>10</x:v>
      </x:c>
      <x:c r="D19" s="170" t="n">
        <x:v>0.8200000000000001</x:v>
      </x:c>
      <x:c r="E19" s="172" t="n">
        <x:v>7.02</x:v>
      </x:c>
      <x:c r="F19" s="172" t="n">
        <x:v>83.1</x:v>
      </x:c>
      <x:c r="G19" s="53"/>
      <x:c r="H19" s="166" t="n">
        <x:v>146000</x:v>
      </x:c>
      <x:c r="I19" s="166" t="n">
        <x:v>86800</x:v>
      </x:c>
      <x:c r="J19" s="166" t="n">
        <x:f>H19-I19</x:f>
        <x:v>59200</x:v>
      </x:c>
      <x:c r="K19" s="53" t="str">
        <x:v>Warn</x:v>
      </x:c>
      <x:c r="L19" s="56" t="str">
        <x:v>Release train 15; includes i18n, formulas and date-axis stress.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0" customHeight="1">
      <x:c r="A20" s="186" t="n">
        <x:v>46113</x:v>
      </x:c>
      <x:c r="B20" s="53" t="n">
        <x:v>46</x:v>
      </x:c>
      <x:c r="C20" s="53" t="n">
        <x:v>6</x:v>
      </x:c>
      <x:c r="D20" s="170" t="n">
        <x:v>0.8200000000000001</x:v>
      </x:c>
      <x:c r="E20" s="172" t="n">
        <x:v>7.1</x:v>
      </x:c>
      <x:c r="F20" s="172" t="n">
        <x:v>86.3</x:v>
      </x:c>
      <x:c r="G20" s="53"/>
      <x:c r="H20" s="166" t="n">
        <x:v>145000</x:v>
      </x:c>
      <x:c r="I20" s="166" t="n">
        <x:v>90400</x:v>
      </x:c>
      <x:c r="J20" s="166" t="n">
        <x:f>H20-I20</x:f>
        <x:v>54600</x:v>
      </x:c>
      <x:c r="K20" s="53" t="str">
        <x:v>Pass</x:v>
      </x:c>
      <x:c r="L20" s="56" t="str">
        <x:v>Release train 16; includes i18n, formulas and date-axis stress.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0" customHeight="1">
      <x:c r="A21" s="186" t="n">
        <x:v>46143</x:v>
      </x:c>
      <x:c r="B21" s="53" t="n">
        <x:v>42</x:v>
      </x:c>
      <x:c r="C21" s="53" t="n">
        <x:v>6</x:v>
      </x:c>
      <x:c r="D21" s="170" t="n">
        <x:v>0.8380000000000001</x:v>
      </x:c>
      <x:c r="E21" s="172" t="n">
        <x:v>5.98</x:v>
      </x:c>
      <x:c r="F21" s="172" t="n">
        <x:v>87.7</x:v>
      </x:c>
      <x:c r="G21" s="53"/>
      <x:c r="H21" s="166" t="n">
        <x:v>151800</x:v>
      </x:c>
      <x:c r="I21" s="166" t="n">
        <x:v>88800</x:v>
      </x:c>
      <x:c r="J21" s="166" t="n">
        <x:f>H21-I21</x:f>
        <x:v>63000</x:v>
      </x:c>
      <x:c r="K21" s="53" t="str">
        <x:v>Pass</x:v>
      </x:c>
      <x:c r="L21" s="56" t="str">
        <x:v>Release train 17; includes i18n, formulas and date-axis stress.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0" customHeight="1">
      <x:c r="A22" s="186" t="n">
        <x:v>46174</x:v>
      </x:c>
      <x:c r="B22" s="53" t="n">
        <x:v>45</x:v>
      </x:c>
      <x:c r="C22" s="53" t="n">
        <x:v>7</x:v>
      </x:c>
      <x:c r="D22" s="170" t="n">
        <x:v>0.8560000000000001</x:v>
      </x:c>
      <x:c r="E22" s="172" t="n">
        <x:v>6.06</x:v>
      </x:c>
      <x:c r="F22" s="172" t="n">
        <x:v>88.64999999999999</x:v>
      </x:c>
      <x:c r="G22" s="53"/>
      <x:c r="H22" s="166" t="n">
        <x:v>158600</x:v>
      </x:c>
      <x:c r="I22" s="166" t="n">
        <x:v>92400</x:v>
      </x:c>
      <x:c r="J22" s="166" t="n">
        <x:f>H22-I22</x:f>
        <x:v>66200</x:v>
      </x:c>
      <x:c r="K22" s="53" t="str">
        <x:v>Pass</x:v>
      </x:c>
      <x:c r="L22" s="56" t="str">
        <x:v>Release train 18; includes i18n, formulas and date-axis stress.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L1"/>
    <x:mergeCell ref="A2:L2"/>
  </x:mergeCells>
  <x:conditionalFormatting sqref="F5:F22">
    <x:cfRule type="colorScale" priority="1">
      <x:colorScale>
        <x:cfvo type="min"/>
        <x:cfvo type="percentile" val="50"/>
        <x:cfvo type="max"/>
        <x:color rgb="FCA5A5"/>
        <x:color rgb="FDE68A"/>
        <x:color rgb="86EFAC"/>
      </x:colorScale>
    </x:cfRule>
  </x:conditionalFormatting>
  <x:conditionalFormatting sqref="D5:D22">
    <x:cfRule type="dataBar" priority="2">
      <x:dataBar>
        <x:cfvo type="min"/>
        <x:cfvo type="max"/>
        <x:color rgb="38BDF8"/>
      </x:dataBar>
      <x:extLst>
        <x:ext xmlns:x14="http://schemas.microsoft.com/office/spreadsheetml/2009/9/main" uri="{B025F937-C7B1-47D3-B67F-A62EFF666E3E}">
          <x14:id>{20AFDBD7-62E4-BDB1-FB5A-24F5ACD0F0AB}</x14:id>
        </x:ext>
      </x:extLst>
    </x:cfRule>
  </x:conditionalFormatting>
  <x:conditionalFormatting sqref="K5:K22">
    <x:cfRule type="containsText" dxfId="3" priority="3" operator="containsText" text="Warn"/>
  </x:conditionalFormatting>
  <x:pageMargins left="0.7" right="0.7" top="0.75" bottom="0.75" header="0.3" footer="0.3"/>
  <x:drawing xmlns:r="http://schemas.openxmlformats.org/officeDocument/2006/relationships" r:id="R0db9d7656d63493c"/>
  <x:tableParts count="1">
    <x:tablePart xmlns:r="http://schemas.openxmlformats.org/officeDocument/2006/relationships" r:id="R19d4d3db11d5448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0AFDBD7-62E4-BDB1-FB5A-24F5ACD0F0AB}">
            <x14:dataBar gradient="1">
              <x14:cfvo type="min"/>
              <x14:cfvo type="max"/>
              <x14:fillColor rgb="38BDF8"/>
            </x14:dataBar>
          </x14:cfRule>
          <xm:sqref>D5:D22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0" hidden="0" customWidth="1"/>
    <x:col min="12" max="12" width="10" hidden="0" customWidth="1"/>
    <x:col min="13" max="13" width="12" hidden="0" customWidth="1"/>
    <x:col min="14" max="14" width="28" hidden="0" customWidth="1"/>
  </x:cols>
  <x:sheetData>
    <x:row r="1" ht="32" customHeight="1">
      <x:c r="A1" s="7" t="str">
        <x:v>Risk × Capability Heatmap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4" t="str">
        <x:v>Merged labels and color scales test matrix rendering.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93" t="str">
        <x:v>Risk Area</x:v>
      </x:c>
      <x:c r="B4" s="193" t="str">
        <x:v>Capability Coverage Score</x:v>
      </x:c>
      <x:c r="C4" s="193"/>
      <x:c r="D4" s="193"/>
      <x:c r="E4" s="193"/>
      <x:c r="F4" s="193"/>
      <x:c r="G4" s="193"/>
      <x:c r="H4" s="193"/>
      <x:c r="I4" s="193"/>
      <x:c r="J4" s="193" t="str">
        <x:v>Summary Signals</x:v>
      </x:c>
      <x:c r="K4" s="193"/>
      <x:c r="L4" s="193"/>
      <x:c r="M4" s="193"/>
      <x:c r="N4" s="193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93"/>
      <x:c r="B5" s="193" t="str">
        <x:v>Spec</x:v>
      </x:c>
      <x:c r="C5" s="193" t="str">
        <x:v>Context</x:v>
      </x:c>
      <x:c r="D5" s="193" t="str">
        <x:v>Coding</x:v>
      </x:c>
      <x:c r="E5" s="193" t="str">
        <x:v>Review</x:v>
      </x:c>
      <x:c r="F5" s="193" t="str">
        <x:v>Fitness</x:v>
      </x:c>
      <x:c r="G5" s="193" t="str">
        <x:v>Release</x:v>
      </x:c>
      <x:c r="H5" s="193" t="str">
        <x:v>Observe</x:v>
      </x:c>
      <x:c r="I5" s="193" t="str">
        <x:v>Recover</x:v>
      </x:c>
      <x:c r="J5" s="193" t="str">
        <x:v>Average</x:v>
      </x:c>
      <x:c r="K5" s="193" t="str">
        <x:v>Max</x:v>
      </x:c>
      <x:c r="L5" s="193" t="str">
        <x:v>Min</x:v>
      </x:c>
      <x:c r="M5" s="193" t="str">
        <x:v>Owner</x:v>
      </x:c>
      <x:c r="N5" s="193" t="str">
        <x:v>Action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customHeight="1">
      <x:c r="A6" s="53" t="str">
        <x:v>Security</x:v>
      </x:c>
      <x:c r="B6" s="172" t="n">
        <x:v>45</x:v>
      </x:c>
      <x:c r="C6" s="172" t="n">
        <x:v>59.4</x:v>
      </x:c>
      <x:c r="D6" s="172" t="n">
        <x:v>70.6</x:v>
      </x:c>
      <x:c r="E6" s="172" t="n">
        <x:v>78.6</x:v>
      </x:c>
      <x:c r="F6" s="172" t="n">
        <x:v>86</x:v>
      </x:c>
      <x:c r="G6" s="172" t="n">
        <x:v>41.2</x:v>
      </x:c>
      <x:c r="H6" s="172" t="n">
        <x:v>54.9</x:v>
      </x:c>
      <x:c r="I6" s="172" t="n">
        <x:v>69.6</x:v>
      </x:c>
      <x:c r="J6" s="172" t="n">
        <x:f>AVERAGE(B6:I6)</x:f>
        <x:v>63.162499999999994</x:v>
      </x:c>
      <x:c r="K6" s="172" t="n">
        <x:f>MAX(B6:I6)</x:f>
        <x:v>86</x:v>
      </x:c>
      <x:c r="L6" s="172" t="n">
        <x:f>MIN(B6:I6)</x:f>
        <x:v>41.2</x:v>
      </x:c>
      <x:c r="M6" s="172" t="str">
        <x:v>Ada</x:v>
      </x:c>
      <x:c r="N6" s="56" t="str">
        <x:v>Gate before merge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customHeight="1">
      <x:c r="A7" s="53" t="str">
        <x:v>Contract</x:v>
      </x:c>
      <x:c r="B7" s="172" t="n">
        <x:v>55.4</x:v>
      </x:c>
      <x:c r="C7" s="172" t="n">
        <x:v>66.6</x:v>
      </x:c>
      <x:c r="D7" s="172" t="n">
        <x:v>74.6</x:v>
      </x:c>
      <x:c r="E7" s="172" t="n">
        <x:v>82</x:v>
      </x:c>
      <x:c r="F7" s="172" t="n">
        <x:v>92.2</x:v>
      </x:c>
      <x:c r="G7" s="172" t="n">
        <x:v>50.9</x:v>
      </x:c>
      <x:c r="H7" s="172" t="n">
        <x:v>65.6</x:v>
      </x:c>
      <x:c r="I7" s="172" t="n">
        <x:v>78</x:v>
      </x:c>
      <x:c r="J7" s="172" t="n">
        <x:f>AVERAGE(B7:I7)</x:f>
        <x:v>70.6625</x:v>
      </x:c>
      <x:c r="K7" s="172" t="n">
        <x:f>MAX(B7:I7)</x:f>
        <x:v>92.2</x:v>
      </x:c>
      <x:c r="L7" s="172" t="n">
        <x:f>MIN(B7:I7)</x:f>
        <x:v>50.9</x:v>
      </x:c>
      <x:c r="M7" s="172" t="str">
        <x:v>Ben</x:v>
      </x:c>
      <x:c r="N7" s="56" t="str">
        <x:v>Add evidence drawer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customHeight="1">
      <x:c r="A8" s="53" t="str">
        <x:v>Performance</x:v>
      </x:c>
      <x:c r="B8" s="172" t="n">
        <x:v>62.6</x:v>
      </x:c>
      <x:c r="C8" s="172" t="n">
        <x:v>70.6</x:v>
      </x:c>
      <x:c r="D8" s="172" t="n">
        <x:v>78</x:v>
      </x:c>
      <x:c r="E8" s="172" t="n">
        <x:v>88.2</x:v>
      </x:c>
      <x:c r="F8" s="172" t="n">
        <x:v>46.9</x:v>
      </x:c>
      <x:c r="G8" s="172" t="n">
        <x:v>61.6</x:v>
      </x:c>
      <x:c r="H8" s="172" t="n">
        <x:v>74</x:v>
      </x:c>
      <x:c r="I8" s="172" t="n">
        <x:v>82.6</x:v>
      </x:c>
      <x:c r="J8" s="172" t="n">
        <x:f>AVERAGE(B8:I8)</x:f>
        <x:v>70.5625</x:v>
      </x:c>
      <x:c r="K8" s="172" t="n">
        <x:f>MAX(B8:I8)</x:f>
        <x:v>88.2</x:v>
      </x:c>
      <x:c r="L8" s="172" t="n">
        <x:f>MIN(B8:I8)</x:f>
        <x:v>46.9</x:v>
      </x:c>
      <x:c r="M8" s="172" t="str">
        <x:v>Chen</x:v>
      </x:c>
      <x:c r="N8" s="56" t="str">
        <x:v>Review harness scope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customHeight="1">
      <x:c r="A9" s="53" t="str">
        <x:v>UX</x:v>
      </x:c>
      <x:c r="B9" s="172" t="n">
        <x:v>66.6</x:v>
      </x:c>
      <x:c r="C9" s="172" t="n">
        <x:v>74</x:v>
      </x:c>
      <x:c r="D9" s="172" t="n">
        <x:v>84.2</x:v>
      </x:c>
      <x:c r="E9" s="172" t="n">
        <x:v>97.9</x:v>
      </x:c>
      <x:c r="F9" s="172" t="n">
        <x:v>57.6</x:v>
      </x:c>
      <x:c r="G9" s="172" t="n">
        <x:v>70</x:v>
      </x:c>
      <x:c r="H9" s="172" t="n">
        <x:v>78.6</x:v>
      </x:c>
      <x:c r="I9" s="172" t="n">
        <x:v>85.8</x:v>
      </x:c>
      <x:c r="J9" s="172" t="n">
        <x:f>AVERAGE(B9:I9)</x:f>
        <x:v>76.8375</x:v>
      </x:c>
      <x:c r="K9" s="172" t="n">
        <x:f>MAX(B9:I9)</x:f>
        <x:v>97.9</x:v>
      </x:c>
      <x:c r="L9" s="172" t="n">
        <x:f>MIN(B9:I9)</x:f>
        <x:v>57.6</x:v>
      </x:c>
      <x:c r="M9" s="172" t="str">
        <x:v>Dina</x:v>
      </x:c>
      <x:c r="N9" s="56" t="str">
        <x:v>Gate before merge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customHeight="1">
      <x:c r="A10" s="53" t="str">
        <x:v>Data Quality</x:v>
      </x:c>
      <x:c r="B10" s="172" t="n">
        <x:v>70</x:v>
      </x:c>
      <x:c r="C10" s="172" t="n">
        <x:v>80.2</x:v>
      </x:c>
      <x:c r="D10" s="172" t="n">
        <x:v>93.9</x:v>
      </x:c>
      <x:c r="E10" s="172" t="n">
        <x:v>53.6</x:v>
      </x:c>
      <x:c r="F10" s="172" t="n">
        <x:v>66</x:v>
      </x:c>
      <x:c r="G10" s="172" t="n">
        <x:v>74.6</x:v>
      </x:c>
      <x:c r="H10" s="172" t="n">
        <x:v>81.8</x:v>
      </x:c>
      <x:c r="I10" s="172" t="n">
        <x:v>91</x:v>
      </x:c>
      <x:c r="J10" s="172" t="n">
        <x:f>AVERAGE(B10:I10)</x:f>
        <x:v>76.38749999999999</x:v>
      </x:c>
      <x:c r="K10" s="172" t="n">
        <x:f>MAX(B10:I10)</x:f>
        <x:v>93.9</x:v>
      </x:c>
      <x:c r="L10" s="172" t="n">
        <x:f>MIN(B10:I10)</x:f>
        <x:v>53.6</x:v>
      </x:c>
      <x:c r="M10" s="172" t="str">
        <x:v>Eli</x:v>
      </x:c>
      <x:c r="N10" s="56" t="str">
        <x:v>Add evidence drawer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customHeight="1">
      <x:c r="A11" s="53" t="str">
        <x:v>Ops</x:v>
      </x:c>
      <x:c r="B11" s="172" t="n">
        <x:v>76.2</x:v>
      </x:c>
      <x:c r="C11" s="172" t="n">
        <x:v>89.9</x:v>
      </x:c>
      <x:c r="D11" s="172" t="n">
        <x:v>49.6</x:v>
      </x:c>
      <x:c r="E11" s="172" t="n">
        <x:v>62</x:v>
      </x:c>
      <x:c r="F11" s="172" t="n">
        <x:v>70.6</x:v>
      </x:c>
      <x:c r="G11" s="172" t="n">
        <x:v>77.8</x:v>
      </x:c>
      <x:c r="H11" s="172" t="n">
        <x:v>87</x:v>
      </x:c>
      <x:c r="I11" s="172" t="n">
        <x:v>44.9</x:v>
      </x:c>
      <x:c r="J11" s="172" t="n">
        <x:f>AVERAGE(B11:I11)</x:f>
        <x:v>69.75000000000001</x:v>
      </x:c>
      <x:c r="K11" s="172" t="n">
        <x:f>MAX(B11:I11)</x:f>
        <x:v>89.9</x:v>
      </x:c>
      <x:c r="L11" s="172" t="n">
        <x:f>MIN(B11:I11)</x:f>
        <x:v>44.9</x:v>
      </x:c>
      <x:c r="M11" s="172" t="str">
        <x:v>Fang</x:v>
      </x:c>
      <x:c r="N11" s="56" t="str">
        <x:v>Review harness scope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customHeight="1">
      <x:c r="A12" s="53" t="str">
        <x:v>Architecture</x:v>
      </x:c>
      <x:c r="B12" s="172" t="n">
        <x:v>85.9</x:v>
      </x:c>
      <x:c r="C12" s="172" t="n">
        <x:v>100.6</x:v>
      </x:c>
      <x:c r="D12" s="172" t="n">
        <x:v>58</x:v>
      </x:c>
      <x:c r="E12" s="172" t="n">
        <x:v>66.6</x:v>
      </x:c>
      <x:c r="F12" s="172" t="n">
        <x:v>73.8</x:v>
      </x:c>
      <x:c r="G12" s="172" t="n">
        <x:v>83</x:v>
      </x:c>
      <x:c r="H12" s="172" t="n">
        <x:v>95.9</x:v>
      </x:c>
      <x:c r="I12" s="172" t="n">
        <x:v>55.7</x:v>
      </x:c>
      <x:c r="J12" s="172" t="n">
        <x:f>AVERAGE(B12:I12)</x:f>
        <x:v>77.43750000000001</x:v>
      </x:c>
      <x:c r="K12" s="172" t="n">
        <x:f>MAX(B12:I12)</x:f>
        <x:v>100.6</x:v>
      </x:c>
      <x:c r="L12" s="172" t="n">
        <x:f>MIN(B12:I12)</x:f>
        <x:v>55.7</x:v>
      </x:c>
      <x:c r="M12" s="172" t="str">
        <x:v>Gita</x:v>
      </x:c>
      <x:c r="N12" s="56" t="str">
        <x:v>Gate before merge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0" customHeight="1">
      <x:c r="A13" s="53" t="str">
        <x:v>Compliance</x:v>
      </x:c>
      <x:c r="B13" s="172" t="n">
        <x:v>96.6</x:v>
      </x:c>
      <x:c r="C13" s="172" t="n">
        <x:v>54</x:v>
      </x:c>
      <x:c r="D13" s="172" t="n">
        <x:v>62.6</x:v>
      </x:c>
      <x:c r="E13" s="172" t="n">
        <x:v>69.8</x:v>
      </x:c>
      <x:c r="F13" s="172" t="n">
        <x:v>79</x:v>
      </x:c>
      <x:c r="G13" s="172" t="n">
        <x:v>91.9</x:v>
      </x:c>
      <x:c r="H13" s="172" t="n">
        <x:v>51.7</x:v>
      </x:c>
      <x:c r="I13" s="172" t="n">
        <x:v>65</x:v>
      </x:c>
      <x:c r="J13" s="172" t="n">
        <x:f>AVERAGE(B13:I13)</x:f>
        <x:v>71.32499999999999</x:v>
      </x:c>
      <x:c r="K13" s="172" t="n">
        <x:f>MAX(B13:I13)</x:f>
        <x:v>96.6</x:v>
      </x:c>
      <x:c r="L13" s="172" t="n">
        <x:f>MIN(B13:I13)</x:f>
        <x:v>51.7</x:v>
      </x:c>
      <x:c r="M13" s="172" t="str">
        <x:v>Ada</x:v>
      </x:c>
      <x:c r="N13" s="56" t="str">
        <x:v>Add evidence drawer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0" customHeight="1">
      <x:c r="A14" s="53" t="str">
        <x:v>Maintainability</x:v>
      </x:c>
      <x:c r="B14" s="172" t="n">
        <x:v>50</x:v>
      </x:c>
      <x:c r="C14" s="172" t="n">
        <x:v>58.6</x:v>
      </x:c>
      <x:c r="D14" s="172" t="n">
        <x:v>65.8</x:v>
      </x:c>
      <x:c r="E14" s="172" t="n">
        <x:v>75</x:v>
      </x:c>
      <x:c r="F14" s="172" t="n">
        <x:v>87.9</x:v>
      </x:c>
      <x:c r="G14" s="172" t="n">
        <x:v>47.7</x:v>
      </x:c>
      <x:c r="H14" s="172" t="n">
        <x:v>61</x:v>
      </x:c>
      <x:c r="I14" s="172" t="n">
        <x:v>70.6</x:v>
      </x:c>
      <x:c r="J14" s="172" t="n">
        <x:f>AVERAGE(B14:I14)</x:f>
        <x:v>64.57499999999999</x:v>
      </x:c>
      <x:c r="K14" s="172" t="n">
        <x:f>MAX(B14:I14)</x:f>
        <x:v>87.9</x:v>
      </x:c>
      <x:c r="L14" s="172" t="n">
        <x:f>MIN(B14:I14)</x:f>
        <x:v>47.7</x:v>
      </x:c>
      <x:c r="M14" s="172" t="str">
        <x:v>Ben</x:v>
      </x:c>
      <x:c r="N14" s="56" t="str">
        <x:v>Review harness scope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0" customHeight="1">
      <x:c r="A15" s="53" t="str">
        <x:v>Adoption</x:v>
      </x:c>
      <x:c r="B15" s="172" t="n">
        <x:v>54.6</x:v>
      </x:c>
      <x:c r="C15" s="172" t="n">
        <x:v>61.8</x:v>
      </x:c>
      <x:c r="D15" s="172" t="n">
        <x:v>71</x:v>
      </x:c>
      <x:c r="E15" s="172" t="n">
        <x:v>83.9</x:v>
      </x:c>
      <x:c r="F15" s="172" t="n">
        <x:v>98.7</x:v>
      </x:c>
      <x:c r="G15" s="172" t="n">
        <x:v>57</x:v>
      </x:c>
      <x:c r="H15" s="172" t="n">
        <x:v>66.6</x:v>
      </x:c>
      <x:c r="I15" s="172" t="n">
        <x:v>73.8</x:v>
      </x:c>
      <x:c r="J15" s="172" t="n">
        <x:f>AVERAGE(B15:I15)</x:f>
        <x:v>70.925</x:v>
      </x:c>
      <x:c r="K15" s="172" t="n">
        <x:f>MAX(B15:I15)</x:f>
        <x:v>98.7</x:v>
      </x:c>
      <x:c r="L15" s="172" t="n">
        <x:f>MIN(B15:I15)</x:f>
        <x:v>54.6</x:v>
      </x:c>
      <x:c r="M15" s="172" t="str">
        <x:v>Chen</x:v>
      </x:c>
      <x:c r="N15" s="56" t="str">
        <x:v>Gate before merge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N1"/>
    <x:mergeCell ref="A2:N2"/>
    <x:mergeCell ref="A4:A5"/>
    <x:mergeCell ref="B4:I4"/>
    <x:mergeCell ref="J4:N4"/>
  </x:mergeCells>
  <x:conditionalFormatting sqref="B6:I15">
    <x:cfRule type="colorScale" priority="1">
      <x:colorScale>
        <x:cfvo type="min"/>
        <x:cfvo type="percentile" val="50"/>
        <x:cfvo type="max"/>
        <x:color rgb="FCA5A5"/>
        <x:color rgb="FEF3C7"/>
        <x:color rgb="BBF7D0"/>
      </x:colorScale>
    </x:cfRule>
  </x:conditionalFormatting>
  <x:conditionalFormatting sqref="J6:J15">
    <x:cfRule type="dataBar" priority="2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{49BF627F-5C3E-D990-F790-FB7DF57FD901}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9BF627F-5C3E-D990-F790-FB7DF57FD901}">
            <x14:dataBar gradient="1">
              <x14:cfvo type="min"/>
              <x14:cfvo type="max"/>
              <x14:fillColor rgb="A78BFA"/>
            </x14:dataBar>
          </x14:cfRule>
          <xm:sqref>J6:J15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42" hidden="0" customWidth="1"/>
  </x:cols>
  <x:sheetData>
    <x:row r="1" ht="32" customHeight="1">
      <x:c r="A1" s="7" t="str">
        <x:v>Formula Lab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4" t="str">
        <x:v>Cross-sheet formulas, lookup formulas, IF/COUNTIFS/SUMIFS, dynamic-looking formulas and formula text.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05" t="str">
        <x:v>Metric</x:v>
      </x:c>
      <x:c r="B4" s="205" t="str">
        <x:v>Result</x:v>
      </x:c>
      <x:c r="C4" s="205" t="str">
        <x:v>Expected meaning</x:v>
      </x:c>
      <x:c r="D4" s="205" t="str">
        <x:v>Renderer note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53" t="str">
        <x:v>Total tasks</x:v>
      </x:c>
      <x:c r="B5" s="53" t="n">
        <x:f>COUNTA('02_Tasks_Table'!A5:A44)</x:f>
        <x:v>40</x:v>
      </x:c>
      <x:c r="C5" s="53" t="str">
        <x:v>Count task IDs</x:v>
      </x:c>
      <x:c r="D5" s="56" t="str">
        <x:v>Cross-sheet count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53" t="str">
        <x:v>Done tasks</x:v>
      </x:c>
      <x:c r="B6" s="53" t="n">
        <x:f>COUNTIF('02_Tasks_Table'!E5:E44,"Done")</x:f>
        <x:v>7</x:v>
      </x:c>
      <x:c r="C6" s="53" t="str">
        <x:v>Completed cards</x:v>
      </x:c>
      <x:c r="D6" s="56" t="str">
        <x:v>COUNTIF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53" t="str">
        <x:v>Blocked tasks</x:v>
      </x:c>
      <x:c r="B7" s="53" t="n">
        <x:f>COUNTIF('02_Tasks_Table'!E5:E44,"Blocked")</x:f>
        <x:v>6</x:v>
      </x:c>
      <x:c r="C7" s="53" t="str">
        <x:v>Blocked cards</x:v>
      </x:c>
      <x:c r="D7" s="56" t="str">
        <x:v>Text criterion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53" t="str">
        <x:v>P0/P1 active cost</x:v>
      </x:c>
      <x:c r="B8" s="53" t="n">
        <x:f>SUMIFS('02_Tasks_Table'!O5:O44,'02_Tasks_Table'!F5:F44,"P0")+SUMIFS('02_Tasks_Table'!O5:O44,'02_Tasks_Table'!F5:F44,"P1")</x:f>
        <x:v>115026</x:v>
      </x:c>
      <x:c r="C8" s="53" t="str">
        <x:v>High-priority budget</x:v>
      </x:c>
      <x:c r="D8" s="56" t="str">
        <x:v>SUMIFS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53" t="str">
        <x:v>Average progress</x:v>
      </x:c>
      <x:c r="B9" s="166" t="n">
        <x:f>AVERAGE('02_Tasks_Table'!J5:J44)</x:f>
        <x:v>0.4766230606096011</x:v>
      </x:c>
      <x:c r="C9" s="53" t="str">
        <x:v>Progress average</x:v>
      </x:c>
      <x:c r="D9" s="56" t="str">
        <x:v>Percentage format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53" t="str">
        <x:v>Overdue not done</x:v>
      </x:c>
      <x:c r="B10" s="170" t="n">
        <x:f>COUNTIFS('02_Tasks_Table'!H5:H44,"&lt;"&amp;TODAY(),'02_Tasks_Table'!E5:E44,"&lt;&gt;Done")</x:f>
        <x:v>17</x:v>
      </x:c>
      <x:c r="C10" s="53" t="str">
        <x:v>Overdue open cards</x:v>
      </x:c>
      <x:c r="D10" s="56" t="str">
        <x:v>TODAY + COUNTIFS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53" t="str">
        <x:v>Lookup owner rate</x:v>
      </x:c>
      <x:c r="B11" s="53" t="n">
        <x:f>VLOOKUP("Dina",'99_Config'!A4:B10,2,FALSE)</x:f>
        <x:v>156</x:v>
      </x:c>
      <x:c r="C11" s="53" t="str">
        <x:v>Hourly rate</x:v>
      </x:c>
      <x:c r="D11" s="56" t="str">
        <x:v>Lookup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53" t="str">
        <x:v>Margin last month</x:v>
      </x:c>
      <x:c r="B12" s="166" t="n">
        <x:f>INDEX('03_TimeSeries'!J5:J22,18)</x:f>
        <x:v>66200</x:v>
      </x:c>
      <x:c r="C12" s="53" t="str">
        <x:v>Last time-series margin</x:v>
      </x:c>
      <x:c r="D12" s="56" t="str">
        <x:v>INDEX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53" t="str">
        <x:v>Friendly link</x:v>
      </x:c>
      <x:c r="B13" s="166" t="e">
        <x:f>HYPERLINK("https://example.com/render-test","open external")</x:f>
      </x:c>
      <x:c r="C13" s="53" t="str">
        <x:v>Hyperlink function</x:v>
      </x:c>
      <x:c r="D13" s="56" t="str">
        <x:v>Render text + link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53" t="str">
        <x:v>Literal equals text</x:v>
      </x:c>
      <x:c r="B14" s="53" t="str">
        <x:v>=this should remain text</x:v>
      </x:c>
      <x:c r="C14" s="53" t="str">
        <x:v>Escaped literal</x:v>
      </x:c>
      <x:c r="D14" s="56" t="str">
        <x:v>Should not calculate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L1"/>
    <x:mergeCell ref="A2:L2"/>
  </x:mergeCells>
  <x:conditionalFormatting sqref="B5:B13">
    <x:cfRule type="colorScale" priority="1">
      <x:colorScale>
        <x:cfvo type="min"/>
        <x:cfvo type="max"/>
        <x:color rgb="FEE2E2"/>
        <x:color rgb="DCFCE7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7" t="str">
        <x:v>Validation Form</x:v>
      </x:c>
      <x:c r="B1" s="7"/>
      <x:c r="C1" s="7"/>
      <x:c r="D1" s="7"/>
      <x:c r="E1" s="7"/>
      <x:c r="F1" s="7"/>
      <x:c r="G1" s="7"/>
      <x:c r="H1" s="7"/>
      <x:c r="I1" s="7"/>
      <x:c r="J1" s="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4" t="str">
        <x:v>Editable-looking form with dropdown, date and number validation plus calculated quote.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20" t="str">
        <x:v>Scenario Input Form</x:v>
      </x:c>
      <x:c r="B4" s="221"/>
      <x:c r="C4" s="221"/>
      <x:c r="D4" s="221"/>
      <x:c r="E4" s="221"/>
      <x:c r="F4" s="221"/>
      <x:c r="G4" s="221"/>
      <x:c r="H4" s="221"/>
      <x:c r="I4" s="221"/>
      <x:c r="J4" s="22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39" t="str">
        <x:v>Field</x:v>
      </x:c>
      <x:c r="B6" s="239" t="str">
        <x:v>Value</x:v>
      </x:c>
      <x:c r="C6" s="239" t="str">
        <x:v>Validation</x:v>
      </x:c>
      <x:c r="D6" s="239" t="str">
        <x:v>Computed / helper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8" customHeight="1">
      <x:c r="A7" s="53" t="str">
        <x:v>Requester</x:v>
      </x:c>
      <x:c r="B7" s="53" t="str">
        <x:v>Phodal</x:v>
      </x:c>
      <x:c r="C7" s="53" t="str">
        <x:v>Text</x:v>
      </x:c>
      <x:c r="D7" s="53" t="str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8" customHeight="1">
      <x:c r="A8" s="53" t="str">
        <x:v>Workstream</x:v>
      </x:c>
      <x:c r="B8" s="53" t="str">
        <x:v>Task-Adaptive Harness</x:v>
      </x:c>
      <x:c r="C8" s="53" t="str">
        <x:v>Dropdown list</x:v>
      </x:c>
      <x:c r="D8" s="53" t="str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8" customHeight="1">
      <x:c r="A9" s="53" t="str">
        <x:v>Priority</x:v>
      </x:c>
      <x:c r="B9" s="53" t="str">
        <x:v>P1</x:v>
      </x:c>
      <x:c r="C9" s="53" t="str">
        <x:v>Dropdown list</x:v>
      </x:c>
      <x:c r="D9" s="53" t="str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8" customHeight="1">
      <x:c r="A10" s="53" t="str">
        <x:v>Target Date</x:v>
      </x:c>
      <x:c r="B10" s="168" t="n">
        <x:v>46188</x:v>
      </x:c>
      <x:c r="C10" s="53" t="str">
        <x:v>Date in 2026</x:v>
      </x:c>
      <x:c r="D10" s="53" t="str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8" customHeight="1">
      <x:c r="A11" s="53" t="str">
        <x:v>Estimated hours</x:v>
      </x:c>
      <x:c r="B11" s="53" t="n">
        <x:v>96</x:v>
      </x:c>
      <x:c r="C11" s="53" t="str">
        <x:v>Whole number 1-300</x:v>
      </x:c>
      <x:c r="D11" s="53" t="str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8" customHeight="1">
      <x:c r="A12" s="53" t="str">
        <x:v>Owner</x:v>
      </x:c>
      <x:c r="B12" s="53" t="str">
        <x:v>Dina</x:v>
      </x:c>
      <x:c r="C12" s="53" t="str">
        <x:v>Dropdown list</x:v>
      </x:c>
      <x:c r="D12" s="53" t="str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8" customHeight="1">
      <x:c r="A13" s="53" t="str">
        <x:v>Rate</x:v>
      </x:c>
      <x:c r="B13" s="166" t="n">
        <x:f>VLOOKUP(B12,'99_Config'!A4:B10,2,FALSE)</x:f>
        <x:v>156</x:v>
      </x:c>
      <x:c r="C13" s="53" t="str">
        <x:v>Formula from Config</x:v>
      </x:c>
      <x:c r="D13" s="53" t="str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8" customHeight="1">
      <x:c r="A14" s="53" t="str">
        <x:v>Estimated Cost</x:v>
      </x:c>
      <x:c r="B14" s="166" t="n">
        <x:f>B11*B13</x:f>
        <x:v>14976</x:v>
      </x:c>
      <x:c r="C14" s="53" t="str">
        <x:v>Formula</x:v>
      </x:c>
      <x:c r="D14" s="53" t="str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53" t="str">
        <x:v>Readiness</x:v>
      </x:c>
      <x:c r="B15" s="53" t="str">
        <x:f>IF(AND(B8&lt;&gt;"",B9&lt;&gt;"",B11&gt;0),"Ready","Incomplete")</x:f>
        <x:v>Ready</x:v>
      </x:c>
      <x:c r="C15" s="53" t="str">
        <x:v>Formula</x:v>
      </x:c>
      <x:c r="D15" s="53" t="str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54" t="str">
        <x:v>Embedded mini table: owner capacity by team</x:v>
      </x:c>
      <x:c r="B18" s="255"/>
      <x:c r="C18" s="255"/>
      <x:c r="D18" s="255"/>
      <x:c r="E18" s="255"/>
      <x:c r="F18" s="255"/>
      <x:c r="G18" s="255"/>
      <x:c r="H18" s="255"/>
      <x:c r="I18" s="255"/>
      <x:c r="J18" s="256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73" t="str">
        <x:v>Owner</x:v>
      </x:c>
      <x:c r="B20" s="273" t="str">
        <x:v>Hourly Rate</x:v>
      </x:c>
      <x:c r="C20" s="273" t="str">
        <x:v>Team</x:v>
      </x:c>
      <x:c r="D20" s="273" t="str">
        <x:v>Capacity / week</x:v>
      </x:c>
      <x:c r="E20" s="273" t="str">
        <x:v>Color Key</x:v>
      </x:c>
      <x:c r="F20" s="273" t="str">
        <x:v>Sort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53" t="str">
        <x:v>Ada</x:v>
      </x:c>
      <x:c r="B21" s="166" t="n">
        <x:v>145</x:v>
      </x:c>
      <x:c r="C21" s="53" t="str">
        <x:v>Platform</x:v>
      </x:c>
      <x:c r="D21" s="53" t="n">
        <x:v>34</x:v>
      </x:c>
      <x:c r="E21" s="53" t="str">
        <x:v>Green</x:v>
      </x:c>
      <x:c r="F21" s="53" t="n">
        <x:v>1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53" t="str">
        <x:v>Ben</x:v>
      </x:c>
      <x:c r="B22" s="166" t="n">
        <x:v>132</x:v>
      </x:c>
      <x:c r="C22" s="53" t="str">
        <x:v>Frontend</x:v>
      </x:c>
      <x:c r="D22" s="53" t="n">
        <x:v>30</x:v>
      </x:c>
      <x:c r="E22" s="53" t="str">
        <x:v>Blue</x:v>
      </x:c>
      <x:c r="F22" s="53" t="n">
        <x:v>2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53" t="str">
        <x:v>Chen</x:v>
      </x:c>
      <x:c r="B23" s="166" t="n">
        <x:v>118</x:v>
      </x:c>
      <x:c r="C23" s="53" t="str">
        <x:v>Backend</x:v>
      </x:c>
      <x:c r="D23" s="53" t="n">
        <x:v>32</x:v>
      </x:c>
      <x:c r="E23" s="53" t="str">
        <x:v>Amber</x:v>
      </x:c>
      <x:c r="F23" s="53" t="n">
        <x:v>3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53" t="str">
        <x:v>Dina</x:v>
      </x:c>
      <x:c r="B24" s="166" t="n">
        <x:v>156</x:v>
      </x:c>
      <x:c r="C24" s="53" t="str">
        <x:v>Architecture</x:v>
      </x:c>
      <x:c r="D24" s="53" t="n">
        <x:v>26</x:v>
      </x:c>
      <x:c r="E24" s="53" t="str">
        <x:v>Purple</x:v>
      </x:c>
      <x:c r="F24" s="53" t="n">
        <x:v>4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53" t="str">
        <x:v>Eli</x:v>
      </x:c>
      <x:c r="B25" s="166" t="n">
        <x:v>124</x:v>
      </x:c>
      <x:c r="C25" s="53" t="str">
        <x:v>QA</x:v>
      </x:c>
      <x:c r="D25" s="53" t="n">
        <x:v>28</x:v>
      </x:c>
      <x:c r="E25" s="53" t="str">
        <x:v>Red</x:v>
      </x:c>
      <x:c r="F25" s="53" t="n">
        <x:v>5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53" t="str">
        <x:v>Fang</x:v>
      </x:c>
      <x:c r="B26" s="166" t="n">
        <x:v>139</x:v>
      </x:c>
      <x:c r="C26" s="53" t="str">
        <x:v>DevOps</x:v>
      </x:c>
      <x:c r="D26" s="53" t="n">
        <x:v>30</x:v>
      </x:c>
      <x:c r="E26" s="53" t="str">
        <x:v>Slate</x:v>
      </x:c>
      <x:c r="F26" s="53" t="n">
        <x:v>6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53" t="str">
        <x:v>Gita</x:v>
      </x:c>
      <x:c r="B27" s="166" t="n">
        <x:v>128</x:v>
      </x:c>
      <x:c r="C27" s="53" t="str">
        <x:v>Data</x:v>
      </x:c>
      <x:c r="D27" s="53" t="n">
        <x:v>24</x:v>
      </x:c>
      <x:c r="E27" s="53" t="str">
        <x:v>Teal</x:v>
      </x:c>
      <x:c r="F27" s="53" t="n">
        <x:v>7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J1"/>
    <x:mergeCell ref="A2:J2"/>
    <x:mergeCell ref="A4:J4"/>
    <x:mergeCell ref="A18:J18"/>
  </x:mergeCells>
  <x:conditionalFormatting sqref="B15:B15">
    <x:cfRule type="containsText" dxfId="4" priority="1" operator="containsText" text="Ready"/>
  </x:conditionalFormatting>
  <x:conditionalFormatting sqref="D21:D27">
    <x:cfRule type="dataBar" priority="2">
      <x:dataBar>
        <x:cfvo type="min"/>
        <x:cfvo type="max"/>
        <x:color rgb="14B8A6"/>
      </x:dataBar>
      <x:extLst>
        <x:ext xmlns:x14="http://schemas.microsoft.com/office/spreadsheetml/2009/9/main" uri="{B025F937-C7B1-47D3-B67F-A62EFF666E3E}">
          <x14:id>{E10060E8-6C16-2E92-D002-630415411BEC}</x14:id>
        </x:ext>
      </x:extLst>
    </x:cfRule>
  </x:conditionalFormatting>
  <x:dataValidations count="5">
    <x:dataValidation type="list" allowBlank="0" showDropDown="0" sqref="B8">
      <x:formula1>"Kanban Harness,Feature Explorer,Task-Adaptive Harness,Entrix Fitness,Agent Trace Learning,Code Review UI,Validation Form,Dashboard Canvas"</x:formula1>
    </x:dataValidation>
    <x:dataValidation type="list" allowBlank="0" showDropDown="0" sqref="B9">
      <x:formula1>"P0,P1,P2,P3"</x:formula1>
    </x:dataValidation>
    <x:dataValidation type="whole" errorStyle="warning" operator="between" showErrorMessage="1" errorTitle="Invalid estimate" error="Enter 1-300 hours." sqref="B11">
      <x:formula1>1</x:formula1>
      <x:formula2>300</x:formula2>
    </x:dataValidation>
    <x:dataValidation type="date" operator="between" sqref="B10">
      <x:formula1>DATE(2026,1,1)</x:formula1>
      <x:formula2>DATE(2026,12,31)</x:formula2>
    </x:dataValidation>
    <x:dataValidation type="list" allowBlank="0" showDropDown="0" sqref="B12">
      <x:formula1>"Ada,Ben,Chen,Dina,Eli,Fang,Gita"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10060E8-6C16-2E92-D002-630415411BEC}">
            <x14:dataBar gradient="1">
              <x14:cfvo type="min"/>
              <x14:cfvo type="max"/>
              <x14:fillColor rgb="14B8A6"/>
            </x14:dataBar>
          </x14:cfRule>
          <xm:sqref>D21:D27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42" hidden="0" customWidth="1"/>
    <x:col min="4" max="4" width="14" hidden="0" customWidth="1"/>
    <x:col min="5" max="5" width="13" hidden="0" customWidth="1"/>
    <x:col min="6" max="6" width="12" hidden="0" customWidth="1"/>
    <x:col min="7" max="7" width="16" hidden="0" customWidth="1"/>
    <x:col min="8" max="8" width="20" hidden="0" customWidth="1"/>
    <x:col min="9" max="9" width="28" hidden="0" customWidth="1"/>
    <x:col min="10" max="10" width="16" hidden="0" customWidth="1"/>
    <x:col min="11" max="11" width="18" hidden="0" customWidth="1"/>
    <x:col min="12" max="12" width="34" hidden="0" customWidth="1"/>
    <x:col min="13" max="13" width="6" hidden="0" customWidth="1"/>
    <x:col min="14" max="14" width="42" hidden="0" customWidth="1"/>
  </x:cols>
  <x:sheetData>
    <x:row r="1" ht="32" customHeight="1">
      <x:c r="A1" s="7" t="str">
        <x:v>Layout Stress Sheet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4" t="str">
        <x:v>Designed to exercise merged regions, text wrapping, Unicode, row heights, shape anchors and formula-looking text.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42" customHeight="1">
      <x:c r="A4" s="283" t="str">
        <x:v>Wide merged banner: Agentic UI / Excel renderer / 中文长标题 / emoji ✅ / right-to-left sample: مرحبا</x:v>
      </x:c>
      <x:c r="B4" s="283"/>
      <x:c r="C4" s="283"/>
      <x:c r="D4" s="283"/>
      <x:c r="E4" s="283"/>
      <x:c r="F4" s="283"/>
      <x:c r="G4" s="283"/>
      <x:c r="H4" s="283"/>
      <x:c r="I4" s="283"/>
      <x:c r="J4" s="283"/>
      <x:c r="K4" s="283"/>
      <x:c r="L4" s="283"/>
      <x:c r="M4" s="283"/>
      <x:c r="N4" s="283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92" t="str">
        <x:v>Case</x:v>
      </x:c>
      <x:c r="B6" s="292" t="str">
        <x:v>Short</x:v>
      </x:c>
      <x:c r="C6" s="292" t="str">
        <x:v>Wrapped text</x:v>
      </x:c>
      <x:c r="D6" s="292" t="str">
        <x:v>Number</x:v>
      </x:c>
      <x:c r="E6" s="292" t="str">
        <x:v>Date</x:v>
      </x:c>
      <x:c r="F6" s="292" t="str">
        <x:v>Percent</x:v>
      </x:c>
      <x:c r="G6" s="292" t="str">
        <x:v>Formula-ish</x:v>
      </x:c>
      <x:c r="H6" s="292" t="str">
        <x:v>Merged notes</x:v>
      </x:c>
      <x:c r="I6" s="292" t="str">
        <x:v>CJK</x:v>
      </x:c>
      <x:c r="J6" s="292" t="str">
        <x:v>Emoji</x:v>
      </x:c>
      <x:c r="K6" s="292" t="str">
        <x:v>RTL</x:v>
      </x:c>
      <x:c r="L6" s="292" t="str">
        <x:v>URL</x:v>
      </x:c>
      <x:c r="M6" s="292" t="str">
        <x:v>Thin</x:v>
      </x:c>
      <x:c r="N6" s="292" t="str">
        <x:v>Wide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customHeight="1">
      <x:c r="A7" s="53" t="str">
        <x:v>CASE-01</x:v>
      </x:c>
      <x:c r="B7" s="53" t="str">
        <x:v>ok</x:v>
      </x:c>
      <x:c r="C7" s="56" t="str">
        <x:v>Long wrapped paragraph #1: This cell intentionally contains English + 中文 + punctuation. It should wrap predictably without exploding row height.</x:v>
      </x:c>
      <x:c r="D7" s="320" t="n">
        <x:v>1234.567</x:v>
      </x:c>
      <x:c r="E7" s="168" t="n">
        <x:v>46055</x:v>
      </x:c>
      <x:c r="F7" s="322" t="n">
        <x:v>0.05555555555555555</x:v>
      </x:c>
      <x:c r="G7" s="53" t="str">
        <x:v>=SUM(A1:A3)</x:v>
      </x:c>
      <x:c r="H7" s="306" t="str">
        <x:v>Merged vertical note 7</x:v>
      </x:c>
      <x:c r="I7" s="56" t="str">
        <x:v>架构治理 / 证据优先 / 反馈闭环</x:v>
      </x:c>
      <x:c r="J7" s="56" t="str">
        <x:v>✅ ⚠️ 🧪 📊</x:v>
      </x:c>
      <x:c r="K7" s="56" t="str">
        <x:v>مرحبا بالعالم</x:v>
      </x:c>
      <x:c r="L7" s="56" t="str">
        <x:v>https://example.com/very/long/path/for/rendering/test</x:v>
      </x:c>
      <x:c r="M7" s="53" t="str">
        <x:v>x</x:v>
      </x:c>
      <x:c r="N7" s="53" t="str">
        <x:v>This is a very wide text cell to test clipping and horizontal sizing.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customHeight="1">
      <x:c r="A8" s="53" t="str">
        <x:v>CASE-02</x:v>
      </x:c>
      <x:c r="B8" s="53" t="str">
        <x:v>ok</x:v>
      </x:c>
      <x:c r="C8" s="56" t="str">
        <x:v>Long wrapped paragraph #2: This cell intentionally contains English + 中文 + punctuation. It should wrap predictably without exploding row height.</x:v>
      </x:c>
      <x:c r="D8" s="320" t="n">
        <x:v>2469.134</x:v>
      </x:c>
      <x:c r="E8" s="168" t="n">
        <x:v>46084</x:v>
      </x:c>
      <x:c r="F8" s="322" t="n">
        <x:v>0.1111111111111111</x:v>
      </x:c>
      <x:c r="G8" s="53" t="str">
        <x:v>=SUM(A1:A3)</x:v>
      </x:c>
      <x:c r="H8" s="307" t="str"/>
      <x:c r="I8" s="56" t="str">
        <x:v>架构治理 / 证据优先 / 反馈闭环</x:v>
      </x:c>
      <x:c r="J8" s="56" t="str">
        <x:v>✅ ⚠️ 🧪 📊</x:v>
      </x:c>
      <x:c r="K8" s="56" t="str">
        <x:v>مرحبا بالعالم</x:v>
      </x:c>
      <x:c r="L8" s="56" t="str">
        <x:v>https://example.com/very/long/path/for/rendering/test</x:v>
      </x:c>
      <x:c r="M8" s="53" t="str">
        <x:v>x</x:v>
      </x:c>
      <x:c r="N8" s="53" t="str">
        <x:v>This is a very wide text cell to test clipping and horizontal sizing.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customHeight="1">
      <x:c r="A9" s="53" t="str">
        <x:v>CASE-03</x:v>
      </x:c>
      <x:c r="B9" s="53" t="str">
        <x:v>ok</x:v>
      </x:c>
      <x:c r="C9" s="56" t="str">
        <x:v>Long wrapped paragraph #3: This cell intentionally contains English + 中文 + punctuation. It should wrap predictably without exploding row height.</x:v>
      </x:c>
      <x:c r="D9" s="320" t="n">
        <x:v>3703.701</x:v>
      </x:c>
      <x:c r="E9" s="168" t="n">
        <x:v>46116</x:v>
      </x:c>
      <x:c r="F9" s="322" t="n">
        <x:v>0.16666666666666666</x:v>
      </x:c>
      <x:c r="G9" s="53" t="str">
        <x:v>=SUM(A1:A3)</x:v>
      </x:c>
      <x:c r="H9" s="308" t="str"/>
      <x:c r="I9" s="56" t="str">
        <x:v>架构治理 / 证据优先 / 反馈闭环</x:v>
      </x:c>
      <x:c r="J9" s="56" t="str">
        <x:v>✅ ⚠️ 🧪 📊</x:v>
      </x:c>
      <x:c r="K9" s="56" t="str">
        <x:v>مرحبا بالعالم</x:v>
      </x:c>
      <x:c r="L9" s="56" t="str">
        <x:v>https://example.com/very/long/path/for/rendering/test</x:v>
      </x:c>
      <x:c r="M9" s="53" t="str">
        <x:v>x</x:v>
      </x:c>
      <x:c r="N9" s="53" t="str">
        <x:v>This is a very wide text cell to test clipping and horizontal sizing.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2" customHeight="1">
      <x:c r="A10" s="53" t="str">
        <x:v>CASE-04</x:v>
      </x:c>
      <x:c r="B10" s="53" t="str">
        <x:v>ok</x:v>
      </x:c>
      <x:c r="C10" s="56" t="str">
        <x:v>Long wrapped paragraph #4: This cell intentionally contains English + 中文 + punctuation. It should wrap predictably without exploding row height.</x:v>
      </x:c>
      <x:c r="D10" s="320" t="n">
        <x:v>4938.268</x:v>
      </x:c>
      <x:c r="E10" s="168" t="n">
        <x:v>46147</x:v>
      </x:c>
      <x:c r="F10" s="322" t="n">
        <x:v>0.2222222222222222</x:v>
      </x:c>
      <x:c r="G10" s="53" t="str">
        <x:v>=SUM(A1:A3)</x:v>
      </x:c>
      <x:c r="H10" s="56" t="str"/>
      <x:c r="I10" s="56" t="str">
        <x:v>架构治理 / 证据优先 / 反馈闭环</x:v>
      </x:c>
      <x:c r="J10" s="56" t="str">
        <x:v>✅ ⚠️ 🧪 📊</x:v>
      </x:c>
      <x:c r="K10" s="56" t="str">
        <x:v>مرحبا بالعالم</x:v>
      </x:c>
      <x:c r="L10" s="56" t="str">
        <x:v>https://example.com/very/long/path/for/rendering/test</x:v>
      </x:c>
      <x:c r="M10" s="53" t="str">
        <x:v>x</x:v>
      </x:c>
      <x:c r="N10" s="53" t="str">
        <x:v>This is a very wide text cell to test clipping and horizontal sizing.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2" customHeight="1">
      <x:c r="A11" s="53" t="str">
        <x:v>CASE-05</x:v>
      </x:c>
      <x:c r="B11" s="53" t="str">
        <x:v>ok</x:v>
      </x:c>
      <x:c r="C11" s="56" t="str">
        <x:v>Long wrapped paragraph #5: This cell intentionally contains English + 中文 + punctuation. It should wrap predictably without exploding row height.</x:v>
      </x:c>
      <x:c r="D11" s="320" t="n">
        <x:v>6172.835</x:v>
      </x:c>
      <x:c r="E11" s="168" t="n">
        <x:v>46179</x:v>
      </x:c>
      <x:c r="F11" s="322" t="n">
        <x:v>0.2777777777777778</x:v>
      </x:c>
      <x:c r="G11" s="53" t="str">
        <x:v>=SUM(A1:A3)</x:v>
      </x:c>
      <x:c r="H11" s="56" t="str"/>
      <x:c r="I11" s="56" t="str">
        <x:v>架构治理 / 证据优先 / 反馈闭环</x:v>
      </x:c>
      <x:c r="J11" s="56" t="str">
        <x:v>✅ ⚠️ 🧪 📊</x:v>
      </x:c>
      <x:c r="K11" s="56" t="str">
        <x:v>مرحبا بالعالم</x:v>
      </x:c>
      <x:c r="L11" s="56" t="str">
        <x:v>https://example.com/very/long/path/for/rendering/test</x:v>
      </x:c>
      <x:c r="M11" s="53" t="str">
        <x:v>x</x:v>
      </x:c>
      <x:c r="N11" s="53" t="str">
        <x:v>This is a very wide text cell to test clipping and horizontal sizing.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2" customHeight="1">
      <x:c r="A12" s="53" t="str">
        <x:v>CASE-06</x:v>
      </x:c>
      <x:c r="B12" s="53" t="str">
        <x:v>ok</x:v>
      </x:c>
      <x:c r="C12" s="56" t="str">
        <x:v>Long wrapped paragraph #6: This cell intentionally contains English + 中文 + punctuation. It should wrap predictably without exploding row height.</x:v>
      </x:c>
      <x:c r="D12" s="320" t="n">
        <x:v>7407.402</x:v>
      </x:c>
      <x:c r="E12" s="168" t="n">
        <x:v>46210</x:v>
      </x:c>
      <x:c r="F12" s="322" t="n">
        <x:v>0.3333333333333333</x:v>
      </x:c>
      <x:c r="G12" s="53" t="str">
        <x:v>=SUM(A1:A3)</x:v>
      </x:c>
      <x:c r="H12" s="56" t="str"/>
      <x:c r="I12" s="56" t="str">
        <x:v>架构治理 / 证据优先 / 反馈闭环</x:v>
      </x:c>
      <x:c r="J12" s="56" t="str">
        <x:v>✅ ⚠️ 🧪 📊</x:v>
      </x:c>
      <x:c r="K12" s="56" t="str">
        <x:v>مرحبا بالعالم</x:v>
      </x:c>
      <x:c r="L12" s="56" t="str">
        <x:v>https://example.com/very/long/path/for/rendering/test</x:v>
      </x:c>
      <x:c r="M12" s="53" t="str">
        <x:v>x</x:v>
      </x:c>
      <x:c r="N12" s="53" t="str">
        <x:v>This is a very wide text cell to test clipping and horizontal sizing.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2" customHeight="1">
      <x:c r="A13" s="53" t="str">
        <x:v>CASE-07</x:v>
      </x:c>
      <x:c r="B13" s="53" t="str">
        <x:v>ok</x:v>
      </x:c>
      <x:c r="C13" s="56" t="str">
        <x:v>Long wrapped paragraph #7: This cell intentionally contains English + 中文 + punctuation. It should wrap predictably without exploding row height.</x:v>
      </x:c>
      <x:c r="D13" s="320" t="n">
        <x:v>8641.969000000001</x:v>
      </x:c>
      <x:c r="E13" s="168" t="n">
        <x:v>46242</x:v>
      </x:c>
      <x:c r="F13" s="322" t="n">
        <x:v>0.3888888888888889</x:v>
      </x:c>
      <x:c r="G13" s="53" t="str">
        <x:v>=SUM(A1:A3)</x:v>
      </x:c>
      <x:c r="H13" s="306" t="str">
        <x:v>Merged vertical note 13</x:v>
      </x:c>
      <x:c r="I13" s="56" t="str">
        <x:v>架构治理 / 证据优先 / 反馈闭环</x:v>
      </x:c>
      <x:c r="J13" s="56" t="str">
        <x:v>✅ ⚠️ 🧪 📊</x:v>
      </x:c>
      <x:c r="K13" s="56" t="str">
        <x:v>مرحبا بالعالم</x:v>
      </x:c>
      <x:c r="L13" s="56" t="str">
        <x:v>https://example.com/very/long/path/for/rendering/test</x:v>
      </x:c>
      <x:c r="M13" s="53" t="str">
        <x:v>x</x:v>
      </x:c>
      <x:c r="N13" s="53" t="str">
        <x:v>This is a very wide text cell to test clipping and horizontal sizing.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2" customHeight="1">
      <x:c r="A14" s="53" t="str">
        <x:v>CASE-08</x:v>
      </x:c>
      <x:c r="B14" s="53" t="str">
        <x:v>ok</x:v>
      </x:c>
      <x:c r="C14" s="56" t="str">
        <x:v>Long wrapped paragraph #8: This cell intentionally contains English + 中文 + punctuation. It should wrap predictably without exploding row height.</x:v>
      </x:c>
      <x:c r="D14" s="320" t="n">
        <x:v>9876.536</x:v>
      </x:c>
      <x:c r="E14" s="168" t="n">
        <x:v>46274</x:v>
      </x:c>
      <x:c r="F14" s="322" t="n">
        <x:v>0.4444444444444444</x:v>
      </x:c>
      <x:c r="G14" s="53" t="str">
        <x:v>=SUM(A1:A3)</x:v>
      </x:c>
      <x:c r="H14" s="307" t="str"/>
      <x:c r="I14" s="56" t="str">
        <x:v>架构治理 / 证据优先 / 反馈闭环</x:v>
      </x:c>
      <x:c r="J14" s="56" t="str">
        <x:v>✅ ⚠️ 🧪 📊</x:v>
      </x:c>
      <x:c r="K14" s="56" t="str">
        <x:v>مرحبا بالعالم</x:v>
      </x:c>
      <x:c r="L14" s="56" t="str">
        <x:v>https://example.com/very/long/path/for/rendering/test</x:v>
      </x:c>
      <x:c r="M14" s="53" t="str">
        <x:v>x</x:v>
      </x:c>
      <x:c r="N14" s="53" t="str">
        <x:v>This is a very wide text cell to test clipping and horizontal sizing.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2" customHeight="1">
      <x:c r="A15" s="53" t="str">
        <x:v>CASE-09</x:v>
      </x:c>
      <x:c r="B15" s="53" t="str">
        <x:v>ok</x:v>
      </x:c>
      <x:c r="C15" s="56" t="str">
        <x:v>Long wrapped paragraph #9: This cell intentionally contains English + 中文 + punctuation. It should wrap predictably without exploding row height.</x:v>
      </x:c>
      <x:c r="D15" s="320" t="n">
        <x:v>11111.103</x:v>
      </x:c>
      <x:c r="E15" s="168" t="n">
        <x:v>46305</x:v>
      </x:c>
      <x:c r="F15" s="322" t="n">
        <x:v>0.5</x:v>
      </x:c>
      <x:c r="G15" s="53" t="str">
        <x:v>=SUM(A1:A3)</x:v>
      </x:c>
      <x:c r="H15" s="308" t="str"/>
      <x:c r="I15" s="56" t="str">
        <x:v>架构治理 / 证据优先 / 反馈闭环</x:v>
      </x:c>
      <x:c r="J15" s="56" t="str">
        <x:v>✅ ⚠️ 🧪 📊</x:v>
      </x:c>
      <x:c r="K15" s="56" t="str">
        <x:v>مرحبا بالعالم</x:v>
      </x:c>
      <x:c r="L15" s="56" t="str">
        <x:v>https://example.com/very/long/path/for/rendering/test</x:v>
      </x:c>
      <x:c r="M15" s="53" t="str">
        <x:v>x</x:v>
      </x:c>
      <x:c r="N15" s="53" t="str">
        <x:v>This is a very wide text cell to test clipping and horizontal sizing.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2" customHeight="1">
      <x:c r="A16" s="53" t="str">
        <x:v>CASE-10</x:v>
      </x:c>
      <x:c r="B16" s="53" t="str">
        <x:v>ok</x:v>
      </x:c>
      <x:c r="C16" s="56" t="str">
        <x:v>Long wrapped paragraph #10: This cell intentionally contains English + 中文 + punctuation. It should wrap predictably without exploding row height.</x:v>
      </x:c>
      <x:c r="D16" s="320" t="n">
        <x:v>12345.67</x:v>
      </x:c>
      <x:c r="E16" s="168" t="n">
        <x:v>46337</x:v>
      </x:c>
      <x:c r="F16" s="322" t="n">
        <x:v>0.5555555555555556</x:v>
      </x:c>
      <x:c r="G16" s="53" t="str">
        <x:v>=SUM(A1:A3)</x:v>
      </x:c>
      <x:c r="H16" s="56" t="str"/>
      <x:c r="I16" s="56" t="str">
        <x:v>架构治理 / 证据优先 / 反馈闭环</x:v>
      </x:c>
      <x:c r="J16" s="56" t="str">
        <x:v>✅ ⚠️ 🧪 📊</x:v>
      </x:c>
      <x:c r="K16" s="56" t="str">
        <x:v>مرحبا بالعالم</x:v>
      </x:c>
      <x:c r="L16" s="56" t="str">
        <x:v>https://example.com/very/long/path/for/rendering/test</x:v>
      </x:c>
      <x:c r="M16" s="53" t="str">
        <x:v>x</x:v>
      </x:c>
      <x:c r="N16" s="53" t="str">
        <x:v>This is a very wide text cell to test clipping and horizontal sizing.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2" customHeight="1">
      <x:c r="A17" s="53" t="str">
        <x:v>CASE-11</x:v>
      </x:c>
      <x:c r="B17" s="53" t="str">
        <x:v>ok</x:v>
      </x:c>
      <x:c r="C17" s="56" t="str">
        <x:v>Long wrapped paragraph #11: This cell intentionally contains English + 中文 + punctuation. It should wrap predictably without exploding row height.</x:v>
      </x:c>
      <x:c r="D17" s="320" t="n">
        <x:v>13580.237000000001</x:v>
      </x:c>
      <x:c r="E17" s="168" t="n">
        <x:v>46368</x:v>
      </x:c>
      <x:c r="F17" s="322" t="n">
        <x:v>0.6111111111111112</x:v>
      </x:c>
      <x:c r="G17" s="53" t="str">
        <x:v>=SUM(A1:A3)</x:v>
      </x:c>
      <x:c r="H17" s="56" t="str"/>
      <x:c r="I17" s="56" t="str">
        <x:v>架构治理 / 证据优先 / 反馈闭环</x:v>
      </x:c>
      <x:c r="J17" s="56" t="str">
        <x:v>✅ ⚠️ 🧪 📊</x:v>
      </x:c>
      <x:c r="K17" s="56" t="str">
        <x:v>مرحبا بالعالم</x:v>
      </x:c>
      <x:c r="L17" s="56" t="str">
        <x:v>https://example.com/very/long/path/for/rendering/test</x:v>
      </x:c>
      <x:c r="M17" s="53" t="str">
        <x:v>x</x:v>
      </x:c>
      <x:c r="N17" s="53" t="str">
        <x:v>This is a very wide text cell to test clipping and horizontal sizing.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2" customHeight="1">
      <x:c r="A18" s="53" t="str">
        <x:v>CASE-12</x:v>
      </x:c>
      <x:c r="B18" s="53" t="str">
        <x:v>ok</x:v>
      </x:c>
      <x:c r="C18" s="56" t="str">
        <x:v>Long wrapped paragraph #12: This cell intentionally contains English + 中文 + punctuation. It should wrap predictably without exploding row height.</x:v>
      </x:c>
      <x:c r="D18" s="320" t="n">
        <x:v>14814.804</x:v>
      </x:c>
      <x:c r="E18" s="168" t="n">
        <x:v>46035</x:v>
      </x:c>
      <x:c r="F18" s="322" t="n">
        <x:v>0.6666666666666666</x:v>
      </x:c>
      <x:c r="G18" s="53" t="str">
        <x:v>=SUM(A1:A3)</x:v>
      </x:c>
      <x:c r="H18" s="56" t="str"/>
      <x:c r="I18" s="56" t="str">
        <x:v>架构治理 / 证据优先 / 反馈闭环</x:v>
      </x:c>
      <x:c r="J18" s="56" t="str">
        <x:v>✅ ⚠️ 🧪 📊</x:v>
      </x:c>
      <x:c r="K18" s="56" t="str">
        <x:v>مرحبا بالعالم</x:v>
      </x:c>
      <x:c r="L18" s="56" t="str">
        <x:v>https://example.com/very/long/path/for/rendering/test</x:v>
      </x:c>
      <x:c r="M18" s="53" t="str">
        <x:v>x</x:v>
      </x:c>
      <x:c r="N18" s="53" t="str">
        <x:v>This is a very wide text cell to test clipping and horizontal sizing.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customHeight="1">
      <x:c r="A19" s="53" t="str">
        <x:v>CASE-13</x:v>
      </x:c>
      <x:c r="B19" s="53" t="str">
        <x:v>ok</x:v>
      </x:c>
      <x:c r="C19" s="56" t="str">
        <x:v>Long wrapped paragraph #13: This cell intentionally contains English + 中文 + punctuation. It should wrap predictably without exploding row height.</x:v>
      </x:c>
      <x:c r="D19" s="320" t="n">
        <x:v>16049.371</x:v>
      </x:c>
      <x:c r="E19" s="168" t="n">
        <x:v>46067</x:v>
      </x:c>
      <x:c r="F19" s="322" t="n">
        <x:v>0.7222222222222222</x:v>
      </x:c>
      <x:c r="G19" s="53" t="str">
        <x:v>=SUM(A1:A3)</x:v>
      </x:c>
      <x:c r="H19" s="306" t="str">
        <x:v>Merged vertical note 19</x:v>
      </x:c>
      <x:c r="I19" s="56" t="str">
        <x:v>架构治理 / 证据优先 / 反馈闭环</x:v>
      </x:c>
      <x:c r="J19" s="56" t="str">
        <x:v>✅ ⚠️ 🧪 📊</x:v>
      </x:c>
      <x:c r="K19" s="56" t="str">
        <x:v>مرحبا بالعالم</x:v>
      </x:c>
      <x:c r="L19" s="56" t="str">
        <x:v>https://example.com/very/long/path/for/rendering/test</x:v>
      </x:c>
      <x:c r="M19" s="53" t="str">
        <x:v>x</x:v>
      </x:c>
      <x:c r="N19" s="53" t="str">
        <x:v>This is a very wide text cell to test clipping and horizontal sizing.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2" customHeight="1">
      <x:c r="A20" s="53" t="str">
        <x:v>CASE-14</x:v>
      </x:c>
      <x:c r="B20" s="53" t="str">
        <x:v>ok</x:v>
      </x:c>
      <x:c r="C20" s="56" t="str">
        <x:v>Long wrapped paragraph #14: This cell intentionally contains English + 中文 + punctuation. It should wrap predictably without exploding row height.</x:v>
      </x:c>
      <x:c r="D20" s="320" t="n">
        <x:v>17283.938000000002</x:v>
      </x:c>
      <x:c r="E20" s="168" t="n">
        <x:v>46096</x:v>
      </x:c>
      <x:c r="F20" s="322" t="n">
        <x:v>0.7777777777777778</x:v>
      </x:c>
      <x:c r="G20" s="53" t="str">
        <x:v>=SUM(A1:A3)</x:v>
      </x:c>
      <x:c r="H20" s="307" t="str"/>
      <x:c r="I20" s="56" t="str">
        <x:v>架构治理 / 证据优先 / 反馈闭环</x:v>
      </x:c>
      <x:c r="J20" s="56" t="str">
        <x:v>✅ ⚠️ 🧪 📊</x:v>
      </x:c>
      <x:c r="K20" s="56" t="str">
        <x:v>مرحبا بالعالم</x:v>
      </x:c>
      <x:c r="L20" s="56" t="str">
        <x:v>https://example.com/very/long/path/for/rendering/test</x:v>
      </x:c>
      <x:c r="M20" s="53" t="str">
        <x:v>x</x:v>
      </x:c>
      <x:c r="N20" s="53" t="str">
        <x:v>This is a very wide text cell to test clipping and horizontal sizing.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2" customHeight="1">
      <x:c r="A21" s="53" t="str">
        <x:v>CASE-15</x:v>
      </x:c>
      <x:c r="B21" s="53" t="str">
        <x:v>ok</x:v>
      </x:c>
      <x:c r="C21" s="56" t="str">
        <x:v>Long wrapped paragraph #15: This cell intentionally contains English + 中文 + punctuation. It should wrap predictably without exploding row height.</x:v>
      </x:c>
      <x:c r="D21" s="320" t="n">
        <x:v>18518.505</x:v>
      </x:c>
      <x:c r="E21" s="168" t="n">
        <x:v>46128</x:v>
      </x:c>
      <x:c r="F21" s="322" t="n">
        <x:v>0.8333333333333334</x:v>
      </x:c>
      <x:c r="G21" s="53" t="str">
        <x:v>=SUM(A1:A3)</x:v>
      </x:c>
      <x:c r="H21" s="308" t="str"/>
      <x:c r="I21" s="56" t="str">
        <x:v>架构治理 / 证据优先 / 反馈闭环</x:v>
      </x:c>
      <x:c r="J21" s="56" t="str">
        <x:v>✅ ⚠️ 🧪 📊</x:v>
      </x:c>
      <x:c r="K21" s="56" t="str">
        <x:v>مرحبا بالعالم</x:v>
      </x:c>
      <x:c r="L21" s="56" t="str">
        <x:v>https://example.com/very/long/path/for/rendering/test</x:v>
      </x:c>
      <x:c r="M21" s="53" t="str">
        <x:v>x</x:v>
      </x:c>
      <x:c r="N21" s="53" t="str">
        <x:v>This is a very wide text cell to test clipping and horizontal sizing.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2" customHeight="1">
      <x:c r="A22" s="53" t="str">
        <x:v>CASE-16</x:v>
      </x:c>
      <x:c r="B22" s="53" t="str">
        <x:v>ok</x:v>
      </x:c>
      <x:c r="C22" s="56" t="str">
        <x:v>Long wrapped paragraph #16: This cell intentionally contains English + 中文 + punctuation. It should wrap predictably without exploding row height.</x:v>
      </x:c>
      <x:c r="D22" s="320" t="n">
        <x:v>19753.072</x:v>
      </x:c>
      <x:c r="E22" s="168" t="n">
        <x:v>46159</x:v>
      </x:c>
      <x:c r="F22" s="322" t="n">
        <x:v>0.8888888888888888</x:v>
      </x:c>
      <x:c r="G22" s="53" t="str">
        <x:v>=SUM(A1:A3)</x:v>
      </x:c>
      <x:c r="H22" s="56" t="str"/>
      <x:c r="I22" s="56" t="str">
        <x:v>架构治理 / 证据优先 / 反馈闭环</x:v>
      </x:c>
      <x:c r="J22" s="56" t="str">
        <x:v>✅ ⚠️ 🧪 📊</x:v>
      </x:c>
      <x:c r="K22" s="56" t="str">
        <x:v>مرحبا بالعالم</x:v>
      </x:c>
      <x:c r="L22" s="56" t="str">
        <x:v>https://example.com/very/long/path/for/rendering/test</x:v>
      </x:c>
      <x:c r="M22" s="53" t="str">
        <x:v>x</x:v>
      </x:c>
      <x:c r="N22" s="53" t="str">
        <x:v>This is a very wide text cell to test clipping and horizontal sizing.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2" customHeight="1">
      <x:c r="A23" s="53" t="str">
        <x:v>CASE-17</x:v>
      </x:c>
      <x:c r="B23" s="53" t="str">
        <x:v>ok</x:v>
      </x:c>
      <x:c r="C23" s="56" t="str">
        <x:v>Long wrapped paragraph #17: This cell intentionally contains English + 中文 + punctuation. It should wrap predictably without exploding row height.</x:v>
      </x:c>
      <x:c r="D23" s="320" t="n">
        <x:v>20987.639</x:v>
      </x:c>
      <x:c r="E23" s="168" t="n">
        <x:v>46191</x:v>
      </x:c>
      <x:c r="F23" s="322" t="n">
        <x:v>0.9444444444444444</x:v>
      </x:c>
      <x:c r="G23" s="53" t="str">
        <x:v>=SUM(A1:A3)</x:v>
      </x:c>
      <x:c r="H23" s="56" t="str"/>
      <x:c r="I23" s="56" t="str">
        <x:v>架构治理 / 证据优先 / 反馈闭环</x:v>
      </x:c>
      <x:c r="J23" s="56" t="str">
        <x:v>✅ ⚠️ 🧪 📊</x:v>
      </x:c>
      <x:c r="K23" s="56" t="str">
        <x:v>مرحبا بالعالم</x:v>
      </x:c>
      <x:c r="L23" s="56" t="str">
        <x:v>https://example.com/very/long/path/for/rendering/test</x:v>
      </x:c>
      <x:c r="M23" s="53" t="str">
        <x:v>x</x:v>
      </x:c>
      <x:c r="N23" s="53" t="str">
        <x:v>This is a very wide text cell to test clipping and horizontal sizing.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2" customHeight="1">
      <x:c r="A24" s="53" t="str">
        <x:v>CASE-18</x:v>
      </x:c>
      <x:c r="B24" s="53" t="str">
        <x:v>ok</x:v>
      </x:c>
      <x:c r="C24" s="56" t="str">
        <x:v>Long wrapped paragraph #18: This cell intentionally contains English + 中文 + punctuation. It should wrap predictably without exploding row height.</x:v>
      </x:c>
      <x:c r="D24" s="320" t="n">
        <x:v>22222.206</x:v>
      </x:c>
      <x:c r="E24" s="168" t="n">
        <x:v>46222</x:v>
      </x:c>
      <x:c r="F24" s="322" t="n">
        <x:v>1</x:v>
      </x:c>
      <x:c r="G24" s="53" t="str">
        <x:v>=SUM(A1:A3)</x:v>
      </x:c>
      <x:c r="H24" s="56" t="str"/>
      <x:c r="I24" s="56" t="str">
        <x:v>架构治理 / 证据优先 / 反馈闭环</x:v>
      </x:c>
      <x:c r="J24" s="56" t="str">
        <x:v>✅ ⚠️ 🧪 📊</x:v>
      </x:c>
      <x:c r="K24" s="56" t="str">
        <x:v>مرحبا بالعالم</x:v>
      </x:c>
      <x:c r="L24" s="56" t="str">
        <x:v>https://example.com/very/long/path/for/rendering/test</x:v>
      </x:c>
      <x:c r="M24" s="53" t="str">
        <x:v>x</x:v>
      </x:c>
      <x:c r="N24" s="53" t="str">
        <x:v>This is a very wide text cell to test clipping and horizontal sizing.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N1"/>
    <x:mergeCell ref="A2:N2"/>
    <x:mergeCell ref="A4:N4"/>
    <x:mergeCell ref="H7:H9"/>
    <x:mergeCell ref="H13:H15"/>
    <x:mergeCell ref="H19:H21"/>
  </x:mergeCells>
  <x:pageMargins left="0.7" right="0.7" top="0.75" bottom="0.75" header="0.3" footer="0.3"/>
  <x:drawing xmlns:r="http://schemas.openxmlformats.org/officeDocument/2006/relationships" r:id="R858c24ad63164e3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8" hidden="0" customWidth="1"/>
  </x:cols>
  <x:sheetData>
    <x:row r="1">
      <x:c r="A1" s="150" t="str">
        <x:v>Config / Lookup Data</x:v>
      </x:c>
      <x:c r="B1" s="150"/>
      <x:c r="C1" s="150"/>
      <x:c r="D1" s="150"/>
      <x:c r="E1" s="150"/>
      <x:c r="F1" s="150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159" t="str">
        <x:v>Owner</x:v>
      </x:c>
      <x:c r="B3" s="159" t="str">
        <x:v>Hourly Rate</x:v>
      </x:c>
      <x:c r="C3" s="159" t="str">
        <x:v>Team</x:v>
      </x:c>
      <x:c r="D3" s="159" t="str">
        <x:v>Capacity / week</x:v>
      </x:c>
      <x:c r="E3" s="159" t="str">
        <x:v>Color Key</x:v>
      </x:c>
      <x:c r="F3" s="159" t="str">
        <x:v>Sort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3" t="str">
        <x:v>Ada</x:v>
      </x:c>
      <x:c r="B4" s="166" t="n">
        <x:v>145</x:v>
      </x:c>
      <x:c r="C4" s="53" t="str">
        <x:v>Platform</x:v>
      </x:c>
      <x:c r="D4" s="53" t="n">
        <x:v>34</x:v>
      </x:c>
      <x:c r="E4" s="53" t="str">
        <x:v>Green</x:v>
      </x:c>
      <x:c r="F4" s="53" t="n">
        <x:v>1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53" t="str">
        <x:v>Ben</x:v>
      </x:c>
      <x:c r="B5" s="166" t="n">
        <x:v>132</x:v>
      </x:c>
      <x:c r="C5" s="53" t="str">
        <x:v>Frontend</x:v>
      </x:c>
      <x:c r="D5" s="53" t="n">
        <x:v>30</x:v>
      </x:c>
      <x:c r="E5" s="53" t="str">
        <x:v>Blue</x:v>
      </x:c>
      <x:c r="F5" s="53" t="n">
        <x:v>2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53" t="str">
        <x:v>Chen</x:v>
      </x:c>
      <x:c r="B6" s="166" t="n">
        <x:v>118</x:v>
      </x:c>
      <x:c r="C6" s="53" t="str">
        <x:v>Backend</x:v>
      </x:c>
      <x:c r="D6" s="53" t="n">
        <x:v>32</x:v>
      </x:c>
      <x:c r="E6" s="53" t="str">
        <x:v>Amber</x:v>
      </x:c>
      <x:c r="F6" s="53" t="n">
        <x:v>3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53" t="str">
        <x:v>Dina</x:v>
      </x:c>
      <x:c r="B7" s="166" t="n">
        <x:v>156</x:v>
      </x:c>
      <x:c r="C7" s="53" t="str">
        <x:v>Architecture</x:v>
      </x:c>
      <x:c r="D7" s="53" t="n">
        <x:v>26</x:v>
      </x:c>
      <x:c r="E7" s="53" t="str">
        <x:v>Purple</x:v>
      </x:c>
      <x:c r="F7" s="53" t="n">
        <x:v>4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53" t="str">
        <x:v>Eli</x:v>
      </x:c>
      <x:c r="B8" s="166" t="n">
        <x:v>124</x:v>
      </x:c>
      <x:c r="C8" s="53" t="str">
        <x:v>QA</x:v>
      </x:c>
      <x:c r="D8" s="53" t="n">
        <x:v>28</x:v>
      </x:c>
      <x:c r="E8" s="53" t="str">
        <x:v>Red</x:v>
      </x:c>
      <x:c r="F8" s="53" t="n">
        <x:v>5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53" t="str">
        <x:v>Fang</x:v>
      </x:c>
      <x:c r="B9" s="166" t="n">
        <x:v>139</x:v>
      </x:c>
      <x:c r="C9" s="53" t="str">
        <x:v>DevOps</x:v>
      </x:c>
      <x:c r="D9" s="53" t="n">
        <x:v>30</x:v>
      </x:c>
      <x:c r="E9" s="53" t="str">
        <x:v>Slate</x:v>
      </x:c>
      <x:c r="F9" s="53" t="n">
        <x:v>6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53" t="str">
        <x:v>Gita</x:v>
      </x:c>
      <x:c r="B10" s="166" t="n">
        <x:v>128</x:v>
      </x:c>
      <x:c r="C10" s="53" t="str">
        <x:v>Data</x:v>
      </x:c>
      <x:c r="D10" s="53" t="n">
        <x:v>24</x:v>
      </x:c>
      <x:c r="E10" s="53" t="str">
        <x:v>Teal</x:v>
      </x:c>
      <x:c r="F10" s="53" t="n">
        <x:v>7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387c3d013f745cb"/>
  </x:tableParts>
</x:worksheet>
</file>